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1.xml" ContentType="application/vnd.openxmlformats-officedocument.drawing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S7B2911\Downloads\Valuation TOPSIS\"/>
    </mc:Choice>
  </mc:AlternateContent>
  <xr:revisionPtr revIDLastSave="0" documentId="13_ncr:1_{1D2F3A45-8B08-40D9-9A96-B08A1BE2DF01}" xr6:coauthVersionLast="47" xr6:coauthVersionMax="47" xr10:uidLastSave="{00000000-0000-0000-0000-000000000000}"/>
  <bookViews>
    <workbookView xWindow="-110" yWindow="-110" windowWidth="19420" windowHeight="10300" firstSheet="3" activeTab="5" xr2:uid="{00000000-000D-0000-FFFF-FFFF00000000}"/>
  </bookViews>
  <sheets>
    <sheet name="FCD" sheetId="9" r:id="rId1"/>
    <sheet name="FCD-TOPSIS Entropia" sheetId="8" r:id="rId2"/>
    <sheet name="FCD-TOPSIS" sheetId="2" r:id="rId3"/>
    <sheet name="TOPSIS - Entropia" sheetId="6" r:id="rId4"/>
    <sheet name="TOPSIS" sheetId="7" r:id="rId5"/>
    <sheet name="Retornos" sheetId="4" r:id="rId6"/>
  </sheets>
  <definedNames>
    <definedName name="ExternalData_1" localSheetId="2" hidden="1">'FCD-TOPSIS'!$A$1:$F$161</definedName>
    <definedName name="ExternalData_2" localSheetId="1" hidden="1">'FCD-TOPSIS Entropia'!$A$1:$F$161</definedName>
    <definedName name="ExternalData_2" localSheetId="5" hidden="1">'Retornos'!$A$1:$G$9</definedName>
    <definedName name="ExternalData_2" localSheetId="3" hidden="1">'TOPSIS - Entropia'!$A$1:$F$161</definedName>
    <definedName name="ExternalData_3" localSheetId="4" hidden="1">TOPSIS!$A$1:$F$161</definedName>
    <definedName name="ExternalData_4" localSheetId="0" hidden="1">FCD!$A$1:$F$161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2" i="4" l="1"/>
  <c r="B11" i="4" a="1"/>
  <c r="B11" i="4" s="1"/>
  <c r="F12" i="4"/>
  <c r="E12" i="4"/>
  <c r="D12" i="4"/>
  <c r="C12" i="4"/>
  <c r="G12" i="4"/>
  <c r="G11" i="4" a="1"/>
  <c r="G11" i="4" s="1"/>
  <c r="F11" i="4" a="1"/>
  <c r="F11" i="4" s="1"/>
  <c r="E11" i="4" a="1"/>
  <c r="E11" i="4" s="1"/>
  <c r="D11" i="4" a="1"/>
  <c r="D11" i="4" s="1"/>
  <c r="C11" i="4" a="1"/>
  <c r="C11" i="4" s="1"/>
  <c r="G13" i="4"/>
  <c r="F13" i="4"/>
  <c r="E13" i="4"/>
  <c r="D13" i="4"/>
  <c r="C13" i="4"/>
  <c r="B13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3FCB39E-2076-44CC-A22E-34741FE12A6B}" keepAlive="1" name="Query - FCD" description="Connection to the 'FCD' query in the workbook." type="5" refreshedVersion="8" background="1" saveData="1">
    <dbPr connection="Provider=Microsoft.Mashup.OleDb.1;Data Source=$Workbook$;Location=FCD;Extended Properties=&quot;&quot;" command="SELECT * FROM [FCD]"/>
  </connection>
  <connection id="2" xr16:uid="{DAC825BB-0517-4993-8513-599E2B12D9FC}" keepAlive="1" name="Query - FCD-TOPSIS" description="Connection to the 'FCD-TOPSIS' query in the workbook." type="5" refreshedVersion="8" background="1" saveData="1">
    <dbPr connection="Provider=Microsoft.Mashup.OleDb.1;Data Source=$Workbook$;Location=FCD-TOPSIS;Extended Properties=&quot;&quot;" command="SELECT * FROM [FCD-TOPSIS]"/>
  </connection>
  <connection id="3" xr16:uid="{86968931-BD3B-4C1F-B5E7-05832AC28E35}" keepAlive="1" name="Query - FCD-TOPSIS Entropia" description="Connection to the 'FCD-TOPSIS Entropia' query in the workbook." type="5" refreshedVersion="8" background="1" saveData="1">
    <dbPr connection="Provider=Microsoft.Mashup.OleDb.1;Data Source=$Workbook$;Location=&quot;FCD-TOPSIS Entropia&quot;;Extended Properties=&quot;&quot;" command="SELECT * FROM [FCD-TOPSIS Entropia]"/>
  </connection>
  <connection id="4" xr16:uid="{9D2D2B6F-3250-4AF7-8B97-23EA922F90F0}" keepAlive="1" name="Query - fxAddListAsColumn" description="Connection to the 'fxAddListAsColumn' query in the workbook." type="5" refreshedVersion="0" background="1">
    <dbPr connection="Provider=Microsoft.Mashup.OleDb.1;Data Source=$Workbook$;Location=fxAddListAsColumn;Extended Properties=&quot;&quot;" command="SELECT * FROM [fxAddListAsColumn]"/>
  </connection>
  <connection id="5" xr16:uid="{B4842F4E-41B7-4E49-8B99-741793250B2A}" keepAlive="1" name="Query - fxBinaryUnzip" description="Connection to the 'fxBinaryUnzip' query in the workbook." type="5" refreshedVersion="0" background="1">
    <dbPr connection="Provider=Microsoft.Mashup.OleDb.1;Data Source=$Workbook$;Location=fxBinaryUnzip;Extended Properties=&quot;&quot;" command="SELECT * FROM [fxBinaryUnzip]"/>
  </connection>
  <connection id="6" xr16:uid="{3E5E60E2-1D8D-4EB1-B8CE-51E59EE95F04}" keepAlive="1" name="Query - fxCorrelation" description="Connection to the 'fxCorrelation' query in the workbook." type="5" refreshedVersion="0" background="1">
    <dbPr connection="Provider=Microsoft.Mashup.OleDb.1;Data Source=$Workbook$;Location=fxCorrelation;Extended Properties=&quot;&quot;" command="SELECT * FROM [fxCorrelation]"/>
  </connection>
  <connection id="7" xr16:uid="{B0E0CFDC-FBBF-43FA-BD00-A4F221742C4E}" keepAlive="1" name="Query - fxCorrelationMatrix" description="Connection to the 'fxCorrelationMatrix' query in the workbook." type="5" refreshedVersion="0" background="1">
    <dbPr connection="Provider=Microsoft.Mashup.OleDb.1;Data Source=$Workbook$;Location=fxCorrelationMatrix;Extended Properties=&quot;&quot;" command="SELECT * FROM [fxCorrelationMatrix]"/>
  </connection>
  <connection id="8" xr16:uid="{70F83772-2064-41FD-BCDF-FE2BD41E4077}" keepAlive="1" name="Query - fxEntropyMethod" description="Connection to the 'fxEntropyMethod' query in the workbook." type="5" refreshedVersion="0" background="1">
    <dbPr connection="Provider=Microsoft.Mashup.OleDb.1;Data Source=$Workbook$;Location=fxEntropyMethod;Extended Properties=&quot;&quot;" command="SELECT * FROM [fxEntropyMethod]"/>
  </connection>
  <connection id="9" xr16:uid="{A4796DE9-3F4E-489F-ACB1-A4D39C54ACEB}" keepAlive="1" name="Query - fxFixColumnNames" description="Connection to the 'fxFixColumnNames' query in the workbook." type="5" refreshedVersion="0" background="1">
    <dbPr connection="Provider=Microsoft.Mashup.OleDb.1;Data Source=$Workbook$;Location=fxFixColumnNames;Extended Properties=&quot;&quot;" command="SELECT * FROM [fxFixColumnNames]"/>
  </connection>
  <connection id="10" xr16:uid="{0497C5AA-A3EB-412A-8920-3F7D44CFD144}" keepAlive="1" name="Query - fxGetHistoricalCotations" description="Connection to the 'fxGetHistoricalCotations' query in the workbook." type="5" refreshedVersion="0" background="1">
    <dbPr connection="Provider=Microsoft.Mashup.OleDb.1;Data Source=$Workbook$;Location=fxGetHistoricalCotations;Extended Properties=&quot;&quot;" command="SELECT * FROM [fxGetHistoricalCotations]"/>
  </connection>
  <connection id="11" xr16:uid="{40268AE0-EB9B-494B-9CBE-2EEF75AA7A7B}" keepAlive="1" name="Query - fxGetHistoricalSharePrices" description="Connection to the 'fxGetHistoricalSharePrices' query in the workbook." type="5" refreshedVersion="0" background="1">
    <dbPr connection="Provider=Microsoft.Mashup.OleDb.1;Data Source=$Workbook$;Location=fxGetHistoricalSharePrices;Extended Properties=&quot;&quot;" command="SELECT * FROM [fxGetHistoricalSharePrices]"/>
  </connection>
  <connection id="12" xr16:uid="{94C9024F-77AF-4994-8DE0-DD7FF9E7C428}" keepAlive="1" name="Query - fxIntercept" description="Connection to the 'fxIntercept' query in the workbook." type="5" refreshedVersion="0" background="1">
    <dbPr connection="Provider=Microsoft.Mashup.OleDb.1;Data Source=$Workbook$;Location=fxIntercept;Extended Properties=&quot;&quot;" command="SELECT * FROM [fxIntercept]"/>
  </connection>
  <connection id="13" xr16:uid="{39009856-BF18-4AC8-8580-047B9A2CE354}" keepAlive="1" name="Query - fxOutliers" description="Connection to the 'fxOutliers' query in the workbook." type="5" refreshedVersion="0" background="1">
    <dbPr connection="Provider=Microsoft.Mashup.OleDb.1;Data Source=$Workbook$;Location=fxOutliers;Extended Properties=&quot;&quot;" command="SELECT * FROM [fxOutliers]"/>
  </connection>
  <connection id="14" xr16:uid="{2BE46A48-055C-4334-88C0-9144A120BC79}" keepAlive="1" name="Query - fxPreprocessTextColumns" description="Connection to the 'fxPreprocessTextColumns' query in the workbook." type="5" refreshedVersion="0" background="1">
    <dbPr connection="Provider=Microsoft.Mashup.OleDb.1;Data Source=$Workbook$;Location=fxPreprocessTextColumns;Extended Properties=&quot;&quot;" command="SELECT * FROM [fxPreprocessTextColumns]"/>
  </connection>
  <connection id="15" xr16:uid="{3CB903DB-5400-46E5-AB7E-CFC28DD4565B}" keepAlive="1" name="Query - fxRank" description="Connection to the 'fxRank' query in the workbook." type="5" refreshedVersion="0" background="1">
    <dbPr connection="Provider=Microsoft.Mashup.OleDb.1;Data Source=$Workbook$;Location=fxRank;Extended Properties=&quot;&quot;" command="SELECT * FROM [fxRank]"/>
  </connection>
  <connection id="16" xr16:uid="{CBB19DCC-AABC-4A21-AC91-23F9A2D9B23A}" keepAlive="1" name="Query - fxRemoveAccents" description="Connection to the 'fxRemoveAccents' query in the workbook." type="5" refreshedVersion="0" background="1">
    <dbPr connection="Provider=Microsoft.Mashup.OleDb.1;Data Source=$Workbook$;Location=fxRemoveAccents;Extended Properties=&quot;&quot;" command="SELECT * FROM [fxRemoveAccents]"/>
  </connection>
  <connection id="17" xr16:uid="{DA217471-4E38-42C7-8937-E85CCB0B56F9}" keepAlive="1" name="Query - fxRemoveDoubleSpaces" description="Connection to the 'fxRemoveDoubleSpaces' query in the workbook." type="5" refreshedVersion="0" background="1">
    <dbPr connection="Provider=Microsoft.Mashup.OleDb.1;Data Source=$Workbook$;Location=fxRemoveDoubleSpaces;Extended Properties=&quot;&quot;" command="SELECT * FROM [fxRemoveDoubleSpaces]"/>
  </connection>
  <connection id="18" xr16:uid="{54CD8848-C093-4392-85E6-F5E95B9B0AFA}" keepAlive="1" name="Query - fxRemoveEmptyColumns" description="Connection to the 'fxRemoveEmptyColumns' query in the workbook." type="5" refreshedVersion="0" background="1">
    <dbPr connection="Provider=Microsoft.Mashup.OleDb.1;Data Source=$Workbook$;Location=fxRemoveEmptyColumns;Extended Properties=&quot;&quot;" command="SELECT * FROM [fxRemoveEmptyColumns]"/>
  </connection>
  <connection id="19" xr16:uid="{51D95EF7-4F14-46AC-842B-8F61F13441C6}" keepAlive="1" name="Query - fxRemoveHighCorrelatedColumns" description="Connection to the 'fxRemoveHighCorrelatedColumns' query in the workbook." type="5" refreshedVersion="0" background="1">
    <dbPr connection="Provider=Microsoft.Mashup.OleDb.1;Data Source=$Workbook$;Location=fxRemoveHighCorrelatedColumns;Extended Properties=&quot;&quot;" command="SELECT * FROM [fxRemoveHighCorrelatedColumns]"/>
  </connection>
  <connection id="20" xr16:uid="{53D86D14-F64F-4BB8-89CB-7B448B343B69}" keepAlive="1" name="Query - fxRemovePunctuation" description="Connection to the 'fxRemovePunctuation' query in the workbook." type="5" refreshedVersion="0" background="1">
    <dbPr connection="Provider=Microsoft.Mashup.OleDb.1;Data Source=$Workbook$;Location=fxRemovePunctuation;Extended Properties=&quot;&quot;" command="SELECT * FROM [fxRemovePunctuation]"/>
  </connection>
  <connection id="21" xr16:uid="{56CBEB57-8C38-4645-8928-2E4774A42C10}" keepAlive="1" name="Query - fxRemoveStopwords" description="Connection to the 'fxRemoveStopwords' query in the workbook." type="5" refreshedVersion="0" background="1">
    <dbPr connection="Provider=Microsoft.Mashup.OleDb.1;Data Source=$Workbook$;Location=fxRemoveStopwords;Extended Properties=&quot;&quot;" command="SELECT * FROM [fxRemoveStopwords]"/>
  </connection>
  <connection id="22" xr16:uid="{2A3DF1E2-42C8-4766-A6AF-133F95BB46BF}" keepAlive="1" name="Query - fxSlope" description="Connection to the 'fxSlope' query in the workbook." type="5" refreshedVersion="0" background="1">
    <dbPr connection="Provider=Microsoft.Mashup.OleDb.1;Data Source=$Workbook$;Location=fxSlope;Extended Properties=&quot;&quot;" command="SELECT * FROM [fxSlope]"/>
  </connection>
  <connection id="23" xr16:uid="{F1A50C15-AB73-4AE8-B087-F8991C67366D}" keepAlive="1" name="Query - fxTextCount" description="Connection to the 'fxTextCount' query in the workbook." type="5" refreshedVersion="0" background="1">
    <dbPr connection="Provider=Microsoft.Mashup.OleDb.1;Data Source=$Workbook$;Location=fxTextCount;Extended Properties=&quot;&quot;" command="SELECT * FROM [fxTextCount]"/>
  </connection>
  <connection id="24" xr16:uid="{8B433DF5-0696-4869-9874-62A6F6978952}" keepAlive="1" name="Query - fxTopsis" description="Connection to the 'fxTopsis' query in the workbook." type="5" refreshedVersion="0" background="1">
    <dbPr connection="Provider=Microsoft.Mashup.OleDb.1;Data Source=$Workbook$;Location=fxTopsis;Extended Properties=&quot;&quot;" command="SELECT * FROM [fxTopsis]"/>
  </connection>
  <connection id="25" xr16:uid="{A581533F-A2C4-446F-A76C-C486721B6B1F}" keepAlive="1" name="Query - fxTransposeTable" description="Connection to the 'fxTransposeTable' query in the workbook." type="5" refreshedVersion="0" background="1">
    <dbPr connection="Provider=Microsoft.Mashup.OleDb.1;Data Source=$Workbook$;Location=fxTransposeTable;Extended Properties=&quot;&quot;" command="SELECT * FROM [fxTransposeTable]"/>
  </connection>
  <connection id="26" xr16:uid="{0DEBA594-4B4F-4D1F-B2A4-21446619FCF7}" keepAlive="1" name="Query - fxUnixTimeFormat" description="Connection to the 'fxUnixTimeFormat' query in the workbook." type="5" refreshedVersion="0" background="1">
    <dbPr connection="Provider=Microsoft.Mashup.OleDb.1;Data Source=$Workbook$;Location=fxUnixTimeFormat;Extended Properties=&quot;&quot;" command="SELECT * FROM [fxUnixTimeFormat]"/>
  </connection>
  <connection id="27" xr16:uid="{09432EC8-8C3A-4A08-8B7F-23C41564172E}" keepAlive="1" name="Query - fxWeightedAverage" description="Connection to the 'fxWeightedAverage' query in the workbook." type="5" refreshedVersion="0" background="1">
    <dbPr connection="Provider=Microsoft.Mashup.OleDb.1;Data Source=$Workbook$;Location=fxWeightedAverage;Extended Properties=&quot;&quot;" command="SELECT * FROM [fxWeightedAverage]"/>
  </connection>
  <connection id="28" xr16:uid="{9D9D1E4A-5618-44B8-A1C0-71D82C060C93}" keepAlive="1" name="Query - IBOV" description="Connection to the 'IBOV' query in the workbook." type="5" refreshedVersion="0" background="1">
    <dbPr connection="Provider=Microsoft.Mashup.OleDb.1;Data Source=$Workbook$;Location=IBOV;Extended Properties=&quot;&quot;" command="SELECT * FROM [IBOV]"/>
  </connection>
  <connection id="29" xr16:uid="{8E47C98E-C960-4F50-81A1-5A037C597318}" keepAlive="1" name="Query - pqCurrentFolder" description="Connection to the 'pqCurrentFolder' query in the workbook." type="5" refreshedVersion="0" background="1">
    <dbPr connection="Provider=Microsoft.Mashup.OleDb.1;Data Source=$Workbook$;Location=pqCurrentFolder;Extended Properties=&quot;&quot;" command="SELECT * FROM [pqCurrentFolder]"/>
  </connection>
  <connection id="30" xr16:uid="{76F1A07F-18B4-4561-AAB7-29FD09E11E24}" keepAlive="1" name="Query - Retornos" description="Connection to the 'Retornos' query in the workbook." type="5" refreshedVersion="8" background="1" saveData="1">
    <dbPr connection="Provider=Microsoft.Mashup.OleDb.1;Data Source=$Workbook$;Location=Retornos;Extended Properties=&quot;&quot;" command="SELECT * FROM [Retornos]"/>
  </connection>
  <connection id="31" xr16:uid="{65603F86-03D2-4960-BD85-07A5302718A6}" keepAlive="1" name="Query - TOPSIS" description="Connection to the 'TOPSIS' query in the workbook." type="5" refreshedVersion="8" background="1" saveData="1">
    <dbPr connection="Provider=Microsoft.Mashup.OleDb.1;Data Source=$Workbook$;Location=TOPSIS;Extended Properties=&quot;&quot;" command="SELECT * FROM [TOPSIS]"/>
  </connection>
  <connection id="32" xr16:uid="{A0380319-BED8-4C6A-9696-BD9C8DF7C651}" keepAlive="1" name="Query - TOPSIS - Entropia" description="Connection to the 'TOPSIS - Entropia' query in the workbook." type="5" refreshedVersion="8" background="1" saveData="1">
    <dbPr connection="Provider=Microsoft.Mashup.OleDb.1;Data Source=$Workbook$;Location=&quot;TOPSIS - Entropia&quot;;Extended Properties=&quot;&quot;" command="SELECT * FROM [TOPSIS - Entropia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<sst xmlns="http://schemas.openxmlformats.org/spreadsheetml/2006/main" count="840" uniqueCount="172">
  <si>
    <t>TICKER</t>
  </si>
  <si>
    <t>START</t>
  </si>
  <si>
    <t>START_PRICE</t>
  </si>
  <si>
    <t>END</t>
  </si>
  <si>
    <t>PTNT4</t>
  </si>
  <si>
    <t>ECOR3</t>
  </si>
  <si>
    <t>CCRO3</t>
  </si>
  <si>
    <t>EMAE4</t>
  </si>
  <si>
    <t>EMBR3</t>
  </si>
  <si>
    <t>MRFG3</t>
  </si>
  <si>
    <t>POSI3</t>
  </si>
  <si>
    <t>BBAS3</t>
  </si>
  <si>
    <t>ABEV3</t>
  </si>
  <si>
    <t>ODPV3</t>
  </si>
  <si>
    <t>WIZC3</t>
  </si>
  <si>
    <t>BBDC4</t>
  </si>
  <si>
    <t>CSAN3</t>
  </si>
  <si>
    <t>EQTL3</t>
  </si>
  <si>
    <t>OFSA3</t>
  </si>
  <si>
    <t>UNIP3</t>
  </si>
  <si>
    <t>SYNE3</t>
  </si>
  <si>
    <t>BRAP4</t>
  </si>
  <si>
    <t>UGPA3</t>
  </si>
  <si>
    <t>MGLU3</t>
  </si>
  <si>
    <t>CGRA4</t>
  </si>
  <si>
    <t>BBSE3</t>
  </si>
  <si>
    <t>NEMO3</t>
  </si>
  <si>
    <t>PINE4</t>
  </si>
  <si>
    <t>JBSS3</t>
  </si>
  <si>
    <t>BALM4</t>
  </si>
  <si>
    <t>ATOM3</t>
  </si>
  <si>
    <t>BEEF3</t>
  </si>
  <si>
    <t>TRPL4</t>
  </si>
  <si>
    <t>VALE3</t>
  </si>
  <si>
    <t>HYPE3</t>
  </si>
  <si>
    <t>TOTS3</t>
  </si>
  <si>
    <t>ROMI3</t>
  </si>
  <si>
    <t>VIVT3</t>
  </si>
  <si>
    <t>CSNA3</t>
  </si>
  <si>
    <t>KEPL3</t>
  </si>
  <si>
    <t>ITUB4</t>
  </si>
  <si>
    <t>QUAL3</t>
  </si>
  <si>
    <t>BRSR3</t>
  </si>
  <si>
    <t>VBBR3</t>
  </si>
  <si>
    <t>AALR3</t>
  </si>
  <si>
    <t>CIEL3</t>
  </si>
  <si>
    <t>PRIO3</t>
  </si>
  <si>
    <t>MTSA4</t>
  </si>
  <si>
    <t>VIVA3</t>
  </si>
  <si>
    <t>CRIV4</t>
  </si>
  <si>
    <t>JOPA3</t>
  </si>
  <si>
    <t>SUZB3</t>
  </si>
  <si>
    <t>TAEE4</t>
  </si>
  <si>
    <t>AZUL4</t>
  </si>
  <si>
    <t>END_PRICE</t>
  </si>
  <si>
    <t>RETURN</t>
  </si>
  <si>
    <t>PCAR3</t>
  </si>
  <si>
    <t>LUXM4</t>
  </si>
  <si>
    <t>POMO4</t>
  </si>
  <si>
    <t>GEPA4</t>
  </si>
  <si>
    <t>PNVL3</t>
  </si>
  <si>
    <t>MOAR3</t>
  </si>
  <si>
    <t>IBOV_VAR</t>
  </si>
  <si>
    <t>LUPA3</t>
  </si>
  <si>
    <t>USIM3</t>
  </si>
  <si>
    <t>ENAT3</t>
  </si>
  <si>
    <t>MULT3</t>
  </si>
  <si>
    <t>BMKS3</t>
  </si>
  <si>
    <t>WLMM4</t>
  </si>
  <si>
    <t>ATMP3</t>
  </si>
  <si>
    <t>SLED4</t>
  </si>
  <si>
    <t>FLRY3</t>
  </si>
  <si>
    <t>CMIG4</t>
  </si>
  <si>
    <t>IGTI3</t>
  </si>
  <si>
    <t>LPSB3</t>
  </si>
  <si>
    <t>PSSA3</t>
  </si>
  <si>
    <t>CYRE3</t>
  </si>
  <si>
    <t>RDNI3</t>
  </si>
  <si>
    <t>TCSA3</t>
  </si>
  <si>
    <t>EGIE3</t>
  </si>
  <si>
    <t>JOPA4</t>
  </si>
  <si>
    <t>SLCE3</t>
  </si>
  <si>
    <t>GEPA3</t>
  </si>
  <si>
    <t>BSLI4</t>
  </si>
  <si>
    <t>GOAU4</t>
  </si>
  <si>
    <t>MSPA3</t>
  </si>
  <si>
    <t>FRAS3</t>
  </si>
  <si>
    <t>FESA4</t>
  </si>
  <si>
    <t>TKNO4</t>
  </si>
  <si>
    <t>AGRO3</t>
  </si>
  <si>
    <t>SHUL4</t>
  </si>
  <si>
    <t>CPFE3</t>
  </si>
  <si>
    <t>PETR4</t>
  </si>
  <si>
    <t>WEGE3</t>
  </si>
  <si>
    <t>RADL3</t>
  </si>
  <si>
    <t>B3SA3</t>
  </si>
  <si>
    <t>ITSA4</t>
  </si>
  <si>
    <t>GGBR4</t>
  </si>
  <si>
    <t>HAGA4</t>
  </si>
  <si>
    <t>COGN3</t>
  </si>
  <si>
    <t>PDTC3</t>
  </si>
  <si>
    <t>RAIL3</t>
  </si>
  <si>
    <t>BPHA3</t>
  </si>
  <si>
    <t>SOND3</t>
  </si>
  <si>
    <t>HAPV3</t>
  </si>
  <si>
    <t>CPLE3</t>
  </si>
  <si>
    <t>BSLI3</t>
  </si>
  <si>
    <t>TIMS3</t>
  </si>
  <si>
    <t>CEBR3</t>
  </si>
  <si>
    <t>PEAB3</t>
  </si>
  <si>
    <t>LWSA3</t>
  </si>
  <si>
    <t>OIBR3</t>
  </si>
  <si>
    <t>INEP3</t>
  </si>
  <si>
    <t>RNEW4</t>
  </si>
  <si>
    <t>FCD_TOPSIS</t>
  </si>
  <si>
    <t>BPAC3</t>
  </si>
  <si>
    <t>MDIA3</t>
  </si>
  <si>
    <t>TPIS3</t>
  </si>
  <si>
    <t>BRGE3</t>
  </si>
  <si>
    <t>TASA4</t>
  </si>
  <si>
    <t>FIQE3</t>
  </si>
  <si>
    <t>DMVF3</t>
  </si>
  <si>
    <t>PEAB4</t>
  </si>
  <si>
    <t>BRIT3</t>
  </si>
  <si>
    <t>BMGB4</t>
  </si>
  <si>
    <t>OSXB3</t>
  </si>
  <si>
    <t>PTNT3</t>
  </si>
  <si>
    <t>PATI3</t>
  </si>
  <si>
    <t>RAPT4</t>
  </si>
  <si>
    <t>BRFS3</t>
  </si>
  <si>
    <t>TOPSIS_Entropia</t>
  </si>
  <si>
    <t>TOPSIS</t>
  </si>
  <si>
    <t>JHSF3</t>
  </si>
  <si>
    <t>TRIS3</t>
  </si>
  <si>
    <t>SHOW3</t>
  </si>
  <si>
    <t>TECN3</t>
  </si>
  <si>
    <t>GSHP3</t>
  </si>
  <si>
    <t>PFRM3</t>
  </si>
  <si>
    <t>ABCB4</t>
  </si>
  <si>
    <t>WHRL3</t>
  </si>
  <si>
    <t>VLID3</t>
  </si>
  <si>
    <t>BEES3</t>
  </si>
  <si>
    <t>MEAL3</t>
  </si>
  <si>
    <t>AMER3</t>
  </si>
  <si>
    <t>BRIV4</t>
  </si>
  <si>
    <t>BMEB4</t>
  </si>
  <si>
    <t>WHRL4</t>
  </si>
  <si>
    <t>FRIO3</t>
  </si>
  <si>
    <t>PATI4</t>
  </si>
  <si>
    <t>EALT4</t>
  </si>
  <si>
    <t>PTBL3</t>
  </si>
  <si>
    <t>CALI3</t>
  </si>
  <si>
    <t>PMAM3</t>
  </si>
  <si>
    <t>DEXP3</t>
  </si>
  <si>
    <t>BRKM3</t>
  </si>
  <si>
    <t>FCD_TOPSIS_Entropia</t>
  </si>
  <si>
    <t>BAHI3</t>
  </si>
  <si>
    <t>ELET3</t>
  </si>
  <si>
    <t>CLSC4</t>
  </si>
  <si>
    <t>VSTE3</t>
  </si>
  <si>
    <t>CRPG3</t>
  </si>
  <si>
    <t>CAML3</t>
  </si>
  <si>
    <t>RANI3</t>
  </si>
  <si>
    <t>FCD</t>
  </si>
  <si>
    <t>RENT3</t>
  </si>
  <si>
    <t>RRRP3</t>
  </si>
  <si>
    <t>DESK3</t>
  </si>
  <si>
    <t>BLAU3</t>
  </si>
  <si>
    <t>YEAR</t>
  </si>
  <si>
    <t>Beta</t>
  </si>
  <si>
    <t>R</t>
  </si>
  <si>
    <t>R_barra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</si>
</sst>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49" fontId="0" fillId="0" borderId="0" xfId="0" applyNumberFormat="1"/>
    <xf numFmtId="44" fontId="0" fillId="0" borderId="0" xfId="0" applyNumberFormat="1"/>
    <xf numFmtId="10" fontId="0" fillId="0" borderId="0" xfId="0" applyNumberFormat="1"/>
    <xf numFmtId="10" fontId="0" fillId="0" borderId="0" xfId="1" applyNumberFormat="1" applyFont="1"/>
    <xf numFmtId="9" fontId="0" fillId="0" borderId="0" xfId="1" applyFont="1"/>
    <xf numFmtId="2" fontId="0" fillId="0" borderId="0" xfId="1" applyNumberFormat="1" applyFont="1"/>
  </cellXfs>
  <cellStyles count="2">
    <cellStyle name="Normal" xfId="0" builtinId="0"/>
    <cellStyle name="Percent" xfId="1" builtinId="5"/>
  </cellStyles>
  <dxfs count="31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4" formatCode="0.00%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30" formatCode="@"/>
    </dxf>
    <dxf>
      <numFmt numFmtId="14" formatCode="0.00%"/>
    </dxf>
    <dxf>
      <numFmt numFmtId="19" formatCode="dd/mm/yyyy"/>
    </dxf>
    <dxf>
      <numFmt numFmtId="19" formatCode="dd/mm/yyyy"/>
    </dxf>
    <dxf>
      <numFmt numFmtId="0" formatCode="General"/>
    </dxf>
    <dxf>
      <numFmt numFmtId="14" formatCode="0.00%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34" formatCode="_-&quot;R$&quot;\ * #,##0.00_-;\-&quot;R$&quot;\ * #,##0.00_-;_-&quot;R$&quot;\ * &quot;-&quot;??_-;_-@_-"/>
    </dxf>
    <dxf>
      <numFmt numFmtId="19" formatCode="dd/mm/yyyy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tx>
            <c:v>FCD-TOPSIS Entropia</c:v>
          </c:tx>
          <c:spPr>
            <a:ln w="25400" cap="rnd" cmpd="sng">
              <a:solidFill>
                <a:srgbClr val="7030A0"/>
              </a:solidFill>
              <a:prstDash val="lgDash"/>
              <a:round/>
            </a:ln>
            <a:effectLst/>
          </c:spPr>
          <c:marker>
            <c:symbol val="circle"/>
            <c:size val="7"/>
            <c:spPr>
              <a:solidFill>
                <a:srgbClr val="7030A0"/>
              </a:solidFill>
              <a:ln w="9525">
                <a:noFill/>
              </a:ln>
              <a:effectLst/>
            </c:spPr>
          </c:marker>
          <c:cat>
            <c:numRef>
              <c:f>'Retornos'!$A$2:$A$9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'Retornos'!$C$2:$C$9</c:f>
              <c:numCache>
                <c:formatCode>0.00%</c:formatCode>
                <c:ptCount val="8"/>
                <c:pt idx="0">
                  <c:v>0.30915565623521002</c:v>
                </c:pt>
                <c:pt idx="1">
                  <c:v>0.27747274040516401</c:v>
                </c:pt>
                <c:pt idx="2">
                  <c:v>9.0030998861935302E-2</c:v>
                </c:pt>
                <c:pt idx="3">
                  <c:v>0.62631314079255296</c:v>
                </c:pt>
                <c:pt idx="4">
                  <c:v>0.16742636867487801</c:v>
                </c:pt>
                <c:pt idx="5">
                  <c:v>0.21469322455777801</c:v>
                </c:pt>
                <c:pt idx="6">
                  <c:v>-6.5224792819794195E-2</c:v>
                </c:pt>
                <c:pt idx="7">
                  <c:v>0.13410050109346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439-47AA-89E6-7ACA655B9D80}"/>
            </c:ext>
          </c:extLst>
        </c:ser>
        <c:ser>
          <c:idx val="0"/>
          <c:order val="1"/>
          <c:tx>
            <c:v>Ibovespa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'Retornos'!$A$2:$A$9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'Retornos'!$G$2:$G$9</c:f>
              <c:numCache>
                <c:formatCode>0.00%</c:formatCode>
                <c:ptCount val="8"/>
                <c:pt idx="0">
                  <c:v>0.38910650557880699</c:v>
                </c:pt>
                <c:pt idx="1">
                  <c:v>0.26841421122486803</c:v>
                </c:pt>
                <c:pt idx="2">
                  <c:v>0.15043797103558901</c:v>
                </c:pt>
                <c:pt idx="3">
                  <c:v>0.31579671918359797</c:v>
                </c:pt>
                <c:pt idx="4">
                  <c:v>2.9272715641443799E-2</c:v>
                </c:pt>
                <c:pt idx="5">
                  <c:v>-0.119231762628555</c:v>
                </c:pt>
                <c:pt idx="6">
                  <c:v>4.6763427701729303E-2</c:v>
                </c:pt>
                <c:pt idx="7">
                  <c:v>0.22257746771928399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439-47AA-89E6-7ACA655B9D80}"/>
            </c:ext>
          </c:extLst>
        </c:ser>
        <c:ser>
          <c:idx val="2"/>
          <c:order val="2"/>
          <c:tx>
            <c:v>FCD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triang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'Retornos'!$A$2:$A$9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'Retornos'!$B$2:$B$9</c:f>
              <c:numCache>
                <c:formatCode>0.00%</c:formatCode>
                <c:ptCount val="8"/>
                <c:pt idx="0">
                  <c:v>0.45890580645807699</c:v>
                </c:pt>
                <c:pt idx="1">
                  <c:v>0.27592393388110198</c:v>
                </c:pt>
                <c:pt idx="2">
                  <c:v>5.5876643144333001E-2</c:v>
                </c:pt>
                <c:pt idx="3">
                  <c:v>0.67557252318270899</c:v>
                </c:pt>
                <c:pt idx="4">
                  <c:v>2.4060940825363999E-2</c:v>
                </c:pt>
                <c:pt idx="5">
                  <c:v>0.26627420710598398</c:v>
                </c:pt>
                <c:pt idx="6">
                  <c:v>-6.0140785906665099E-2</c:v>
                </c:pt>
                <c:pt idx="7">
                  <c:v>0.22522278662898201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F0-4ABF-BDDC-60F60923BB85}"/>
            </c:ext>
          </c:extLst>
        </c:ser>
        <c:ser>
          <c:idx val="3"/>
          <c:order val="3"/>
          <c:tx>
            <c:v>FCD-TOPSIS</c:v>
          </c:tx>
          <c:spPr>
            <a:ln w="25400" cap="rnd" cmpd="dbl">
              <a:solidFill>
                <a:schemeClr val="accent4"/>
              </a:solidFill>
              <a:prstDash val="lgDash"/>
              <a:round/>
            </a:ln>
            <a:effectLst/>
          </c:spPr>
          <c:marker>
            <c:symbol val="star"/>
            <c:size val="7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'Retornos'!$A$2:$A$9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'Retornos'!$D$2:$D$9</c:f>
              <c:numCache>
                <c:formatCode>0.00%</c:formatCode>
                <c:ptCount val="8"/>
                <c:pt idx="0">
                  <c:v>0.27151148883610299</c:v>
                </c:pt>
                <c:pt idx="1">
                  <c:v>0.28991087035017099</c:v>
                </c:pt>
                <c:pt idx="2">
                  <c:v>0.115006571102987</c:v>
                </c:pt>
                <c:pt idx="3">
                  <c:v>0.64583212441881699</c:v>
                </c:pt>
                <c:pt idx="4">
                  <c:v>0.120411899556133</c:v>
                </c:pt>
                <c:pt idx="5">
                  <c:v>0.31976815089328697</c:v>
                </c:pt>
                <c:pt idx="6">
                  <c:v>1.12283233478169E-2</c:v>
                </c:pt>
                <c:pt idx="7">
                  <c:v>0.164052400467225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F0-4ABF-BDDC-60F60923BB85}"/>
            </c:ext>
          </c:extLst>
        </c:ser>
        <c:ser>
          <c:idx val="4"/>
          <c:order val="4"/>
          <c:tx>
            <c:v>TOPSIS Entropia</c:v>
          </c:tx>
          <c:spPr>
            <a:ln w="25400" cap="rnd">
              <a:solidFill>
                <a:schemeClr val="accent6">
                  <a:lumMod val="50000"/>
                </a:schemeClr>
              </a:solidFill>
              <a:prstDash val="sysDot"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numRef>
              <c:f>'Retornos'!$A$2:$A$9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'Retornos'!$E$2:$E$9</c:f>
              <c:numCache>
                <c:formatCode>0.00%</c:formatCode>
                <c:ptCount val="8"/>
                <c:pt idx="0">
                  <c:v>0.76658727702608798</c:v>
                </c:pt>
                <c:pt idx="1">
                  <c:v>0.79896698334832095</c:v>
                </c:pt>
                <c:pt idx="2">
                  <c:v>0.18205509410296</c:v>
                </c:pt>
                <c:pt idx="3">
                  <c:v>0.351987098807514</c:v>
                </c:pt>
                <c:pt idx="4">
                  <c:v>0.186187881752062</c:v>
                </c:pt>
                <c:pt idx="5">
                  <c:v>6.9791597812247003E-2</c:v>
                </c:pt>
                <c:pt idx="6">
                  <c:v>-0.25083083893650399</c:v>
                </c:pt>
                <c:pt idx="7">
                  <c:v>6.47508315458067E-2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2F0-4ABF-BDDC-60F60923BB85}"/>
            </c:ext>
          </c:extLst>
        </c:ser>
        <c:ser>
          <c:idx val="5"/>
          <c:order val="5"/>
          <c:tx>
            <c:v>TOPSIS</c:v>
          </c:tx>
          <c:spPr>
            <a:ln w="28575" cap="rnd">
              <a:solidFill>
                <a:schemeClr val="accent6"/>
              </a:solidFill>
              <a:prstDash val="sysDot"/>
              <a:round/>
            </a:ln>
            <a:effectLst/>
          </c:spPr>
          <c:marker>
            <c:symbol val="diamond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'Retornos'!$A$2:$A$9</c:f>
              <c:numCache>
                <c:formatCode>General</c:formatCode>
                <c:ptCount val="8"/>
                <c:pt idx="0">
                  <c:v>2016</c:v>
                </c:pt>
                <c:pt idx="1">
                  <c:v>2017</c:v>
                </c:pt>
                <c:pt idx="2">
                  <c:v>2018</c:v>
                </c:pt>
                <c:pt idx="3">
                  <c:v>2019</c:v>
                </c:pt>
                <c:pt idx="4">
                  <c:v>2020</c:v>
                </c:pt>
                <c:pt idx="5">
                  <c:v>2021</c:v>
                </c:pt>
                <c:pt idx="6">
                  <c:v>2022</c:v>
                </c:pt>
                <c:pt idx="7">
                  <c:v>2023</c:v>
                </c:pt>
              </c:numCache>
            </c:numRef>
          </c:cat>
          <c:val>
            <c:numRef>
              <c:f>'Retornos'!$F$2:$F$9</c:f>
              <c:numCache>
                <c:formatCode>0.00%</c:formatCode>
                <c:ptCount val="8"/>
                <c:pt idx="0">
                  <c:v>0.31329839342455301</c:v>
                </c:pt>
                <c:pt idx="1">
                  <c:v>0.66395374700716603</c:v>
                </c:pt>
                <c:pt idx="2">
                  <c:v>-5.64358216453641E-2</c:v>
                </c:pt>
                <c:pt idx="3">
                  <c:v>0.60591630668607299</c:v>
                </c:pt>
                <c:pt idx="4">
                  <c:v>0.31942281960612801</c:v>
                </c:pt>
                <c:pt idx="5">
                  <c:v>8.5844534199375697E-3</c:v>
                </c:pt>
                <c:pt idx="6">
                  <c:v>-0.23565275965302199</c:v>
                </c:pt>
                <c:pt idx="7">
                  <c:v>0.22280074913016901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F0-4ABF-BDDC-60F60923B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0336831"/>
        <c:axId val="1550329151"/>
      </c:lineChart>
      <c:catAx>
        <c:axId val="1550336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0329151"/>
        <c:crosses val="autoZero"/>
        <c:auto val="1"/>
        <c:lblAlgn val="ctr"/>
        <c:lblOffset val="100"/>
        <c:noMultiLvlLbl val="0"/>
      </c:catAx>
      <c:valAx>
        <c:axId val="155032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Retorno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50336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117474</xdr:colOff>
      <xdr:row>0</xdr:row>
      <xdr:rowOff>111124</xdr:rowOff>
    </xdr:from>
    <xdr:to>
      <xdr:col>16</xdr:col>
      <xdr:colOff>990599</xdr:colOff>
      <xdr:row>19</xdr:row>
      <xdr:rowOff>38099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3E3FAC4-9D08-608E-DB94-BDD34A882B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87DEDA45-C5F1-4156-9BF3-727E59CB1A5D}" autoFormatId="16" applyNumberFormats="0" applyBorderFormats="0" applyFontFormats="0" applyPatternFormats="0" applyAlignmentFormats="0" applyWidthHeightFormats="0">
  <queryTableRefresh nextId="7">
    <queryTableFields count="6">
      <queryTableField id="1" name="TICKER" tableColumnId="1"/>
      <queryTableField id="2" name="START" tableColumnId="2"/>
      <queryTableField id="3" name="START_PRICE" tableColumnId="3"/>
      <queryTableField id="4" name="END" tableColumnId="4"/>
      <queryTableField id="5" name="END_PRICE" tableColumnId="5"/>
      <queryTableField id="6" name="RETURN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BD447C33-72E3-4B7E-95C0-37A69B9085DC}" autoFormatId="16" applyNumberFormats="0" applyBorderFormats="0" applyFontFormats="0" applyPatternFormats="0" applyAlignmentFormats="0" applyWidthHeightFormats="0">
  <queryTableRefresh nextId="7">
    <queryTableFields count="6">
      <queryTableField id="1" name="TICKER" tableColumnId="1"/>
      <queryTableField id="2" name="START" tableColumnId="2"/>
      <queryTableField id="3" name="START_PRICE" tableColumnId="3"/>
      <queryTableField id="4" name="END" tableColumnId="4"/>
      <queryTableField id="5" name="END_PRICE" tableColumnId="5"/>
      <queryTableField id="6" name="RETURN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803056BA-C147-40D0-8647-CC6BB84EEF96}" autoFormatId="16" applyNumberFormats="0" applyBorderFormats="0" applyFontFormats="0" applyPatternFormats="0" applyAlignmentFormats="0" applyWidthHeightFormats="0">
  <queryTableRefresh nextId="9">
    <queryTableFields count="6">
      <queryTableField id="1" name="TICKER" tableColumnId="1"/>
      <queryTableField id="2" name="START" tableColumnId="2"/>
      <queryTableField id="3" name="START_PRICE" tableColumnId="3"/>
      <queryTableField id="4" name="END" tableColumnId="4"/>
      <queryTableField id="7" name="END_PRICE" tableColumnId="7"/>
      <queryTableField id="8" name="RETURN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2" xr16:uid="{EDAE5023-9CE7-4588-B4DD-3D1037E0A284}" autoFormatId="16" applyNumberFormats="0" applyBorderFormats="0" applyFontFormats="0" applyPatternFormats="0" applyAlignmentFormats="0" applyWidthHeightFormats="0">
  <queryTableRefresh nextId="7">
    <queryTableFields count="6">
      <queryTableField id="1" name="TICKER" tableColumnId="1"/>
      <queryTableField id="2" name="START" tableColumnId="2"/>
      <queryTableField id="3" name="START_PRICE" tableColumnId="3"/>
      <queryTableField id="4" name="END" tableColumnId="4"/>
      <queryTableField id="5" name="END_PRICE" tableColumnId="5"/>
      <queryTableField id="6" name="RETURN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1" xr16:uid="{8D2E6FF2-3000-4061-B4A8-912453D19559}" autoFormatId="16" applyNumberFormats="0" applyBorderFormats="0" applyFontFormats="0" applyPatternFormats="0" applyAlignmentFormats="0" applyWidthHeightFormats="0">
  <queryTableRefresh nextId="7">
    <queryTableFields count="6">
      <queryTableField id="1" name="TICKER" tableColumnId="1"/>
      <queryTableField id="2" name="START" tableColumnId="2"/>
      <queryTableField id="3" name="START_PRICE" tableColumnId="3"/>
      <queryTableField id="4" name="END" tableColumnId="4"/>
      <queryTableField id="5" name="END_PRICE" tableColumnId="5"/>
      <queryTableField id="6" name="RETURN" tableColumnId="6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0" xr16:uid="{999B7173-CBFB-42D1-A37E-C101AC63F643}" autoFormatId="16" applyNumberFormats="0" applyBorderFormats="0" applyFontFormats="0" applyPatternFormats="0" applyAlignmentFormats="0" applyWidthHeightFormats="0">
  <queryTableRefresh nextId="35">
    <queryTableFields count="7">
      <queryTableField id="28" name="YEAR" tableColumnId="1"/>
      <queryTableField id="29" name="FCD" tableColumnId="2"/>
      <queryTableField id="30" name="FCD_TOPSIS_Entropia" tableColumnId="3"/>
      <queryTableField id="31" name="FCD_TOPSIS" tableColumnId="4"/>
      <queryTableField id="32" name="TOPSIS_Entropia" tableColumnId="5"/>
      <queryTableField id="33" name="TOPSIS" tableColumnId="6"/>
      <queryTableField id="34" name="IBOV_VAR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0F70583-B753-44ED-86B4-31EE02B6EFAA}" name="FCD" displayName="FCD" ref="A1:F161" tableType="queryTable" totalsRowShown="0">
  <autoFilter ref="A1:F161" xr:uid="{E0F70583-B753-44ED-86B4-31EE02B6EFAA}"/>
  <tableColumns count="6">
    <tableColumn id="1" xr3:uid="{5DB7854D-1F4A-40A3-820B-C89FAA84DA77}" uniqueName="1" name="TICKER" queryTableFieldId="1" dataDxfId="30"/>
    <tableColumn id="2" xr3:uid="{CC569962-6695-4C01-9516-7E1691EEFEA2}" uniqueName="2" name="START" queryTableFieldId="2" dataDxfId="29"/>
    <tableColumn id="3" xr3:uid="{8D46BC9F-5F97-4E1E-9765-E5A3769E8015}" uniqueName="3" name="START_PRICE" queryTableFieldId="3" dataDxfId="28"/>
    <tableColumn id="4" xr3:uid="{1328B6B1-76CA-4F14-8DF1-57EFEF81DBE4}" uniqueName="4" name="END" queryTableFieldId="4" dataDxfId="27"/>
    <tableColumn id="5" xr3:uid="{5228758B-9600-40A1-9FAA-68B17EB9D460}" uniqueName="5" name="END_PRICE" queryTableFieldId="5" dataDxfId="26"/>
    <tableColumn id="6" xr3:uid="{05A3C317-5D26-4DD1-AF17-6FB727228DE3}" uniqueName="6" name="RETURN" queryTableFieldId="6" dataDxfId="25" dataCellStyle="Percent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D43F750-4D75-43EB-9543-0C2F9540532B}" name="FCD_TOPSIS_Entropia" displayName="FCD_TOPSIS_Entropia" ref="A1:F161" tableType="queryTable" totalsRowShown="0">
  <autoFilter ref="A1:F161" xr:uid="{1D43F750-4D75-43EB-9543-0C2F9540532B}"/>
  <tableColumns count="6">
    <tableColumn id="1" xr3:uid="{B1A298D7-FB71-4A71-B250-07A35B29901A}" uniqueName="1" name="TICKER" queryTableFieldId="1" dataDxfId="24"/>
    <tableColumn id="2" xr3:uid="{65B6961A-5FBB-423A-A7AC-E21CAE01D446}" uniqueName="2" name="START" queryTableFieldId="2" dataDxfId="23"/>
    <tableColumn id="3" xr3:uid="{86C9842A-3E8E-4E12-B028-43A998B8FBDB}" uniqueName="3" name="START_PRICE" queryTableFieldId="3"/>
    <tableColumn id="4" xr3:uid="{4D72932E-6E6D-46E6-AB11-5064363D468C}" uniqueName="4" name="END" queryTableFieldId="4" dataDxfId="22"/>
    <tableColumn id="5" xr3:uid="{32C39450-29A1-4A0F-9004-30D6CF14DEE6}" uniqueName="5" name="END_PRICE" queryTableFieldId="5"/>
    <tableColumn id="6" xr3:uid="{870B7F3B-AA37-4105-816E-3FD4DCADF734}" uniqueName="6" name="RETURN" queryTableFieldId="6" dataDxfId="21" dataCellStyle="Percent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C55BA9-54EC-4862-B810-0941EB719EF4}" name="FCD_TOPSIS" displayName="FCD_TOPSIS" ref="A1:F161" tableType="queryTable" totalsRowShown="0">
  <autoFilter ref="A1:F161" xr:uid="{42C55BA9-54EC-4862-B810-0941EB719EF4}"/>
  <tableColumns count="6">
    <tableColumn id="1" xr3:uid="{979DD5FF-CE2B-4518-B756-029E27B00FB9}" uniqueName="1" name="TICKER" queryTableFieldId="1" dataDxfId="20"/>
    <tableColumn id="2" xr3:uid="{8EE7F9DE-E0B8-4E18-8C64-A5BA3D875E5E}" uniqueName="2" name="START" queryTableFieldId="2" dataDxfId="19"/>
    <tableColumn id="3" xr3:uid="{3ABE6901-E4CA-42A6-B38F-730EB7429863}" uniqueName="3" name="START_PRICE" queryTableFieldId="3" dataDxfId="18"/>
    <tableColumn id="4" xr3:uid="{3AB68FC8-3089-4420-A364-9EBE1B7D830D}" uniqueName="4" name="END" queryTableFieldId="4" dataDxfId="17"/>
    <tableColumn id="7" xr3:uid="{C99921F4-AFF9-4794-9A4F-1657C66C6F0E}" uniqueName="7" name="END_PRICE" queryTableFieldId="7" dataDxfId="16"/>
    <tableColumn id="8" xr3:uid="{D14531C2-5F6F-46D7-8376-9E8A38A2BE96}" uniqueName="8" name="RETURN" queryTableFieldId="8" dataDxfId="15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5D6EE90-C795-4053-BD64-09566E3424D2}" name="TOPSIS_Entropia" displayName="TOPSIS_Entropia" ref="A1:F161" tableType="queryTable" totalsRowShown="0">
  <autoFilter ref="A1:F161" xr:uid="{95D6EE90-C795-4053-BD64-09566E3424D2}"/>
  <tableColumns count="6">
    <tableColumn id="1" xr3:uid="{6E38B792-3200-4DFF-874B-6BC5D9CD2C7B}" uniqueName="1" name="TICKER" queryTableFieldId="1" dataDxfId="14"/>
    <tableColumn id="2" xr3:uid="{DCA4212A-12D8-4CD9-8BFE-1D526F810594}" uniqueName="2" name="START" queryTableFieldId="2" dataDxfId="13"/>
    <tableColumn id="3" xr3:uid="{3F0AB2F4-C0B2-4730-AFFA-F7E54345C1EA}" uniqueName="3" name="START_PRICE" queryTableFieldId="3"/>
    <tableColumn id="4" xr3:uid="{DE7A6AFC-3671-483C-BC3E-F5DAD13B4622}" uniqueName="4" name="END" queryTableFieldId="4" dataDxfId="12"/>
    <tableColumn id="5" xr3:uid="{C40456BF-0800-48CF-B523-C9765AA0E9DC}" uniqueName="5" name="END_PRICE" queryTableFieldId="5"/>
    <tableColumn id="6" xr3:uid="{BAE2F007-08A9-43E5-9611-537BDC1F7964}" uniqueName="6" name="RETURN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1268A58-9307-440A-95E3-3B841E8F19C5}" name="TOPSIS" displayName="TOPSIS" ref="A1:F161" tableType="queryTable" totalsRowShown="0">
  <autoFilter ref="A1:F161" xr:uid="{B1268A58-9307-440A-95E3-3B841E8F19C5}"/>
  <tableColumns count="6">
    <tableColumn id="1" xr3:uid="{B5BE3E3E-86B3-4EB5-81C1-FB8E7825A0C8}" uniqueName="1" name="TICKER" queryTableFieldId="1" dataDxfId="11"/>
    <tableColumn id="2" xr3:uid="{64355E25-7CBC-4444-9EC3-8EC67CA9DDF7}" uniqueName="2" name="START" queryTableFieldId="2" dataDxfId="10"/>
    <tableColumn id="3" xr3:uid="{3A9FF4FF-EBC1-4B44-918B-4BDB487BD6B1}" uniqueName="3" name="START_PRICE" queryTableFieldId="3" dataDxfId="9"/>
    <tableColumn id="4" xr3:uid="{8BE154C5-1A76-48D6-99E9-5C943C304F59}" uniqueName="4" name="END" queryTableFieldId="4" dataDxfId="8"/>
    <tableColumn id="5" xr3:uid="{8F29507C-5BD8-4218-8D1D-6375A76904A0}" uniqueName="5" name="END_PRICE" queryTableFieldId="5" dataDxfId="7"/>
    <tableColumn id="6" xr3:uid="{CE5131C5-2687-4A8E-816F-4527BA78B701}" uniqueName="6" name="RETURN" queryTableFieldId="6" dataDxfId="6" dataCellStyle="Percent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0142726-EF7A-4C44-ACE2-6299B31879F2}" name="Retornos" displayName="Retornos" ref="A1:G9" tableType="queryTable" totalsRowShown="0">
  <autoFilter ref="A1:G9" xr:uid="{A0142726-EF7A-4C44-ACE2-6299B31879F2}"/>
  <tableColumns count="7">
    <tableColumn id="1" xr3:uid="{A0866563-E995-4298-ADF7-5E08C65ADFD8}" uniqueName="1" name="YEAR" queryTableFieldId="28"/>
    <tableColumn id="2" xr3:uid="{D9BD7164-10DB-487F-A1DA-BDA503B90C97}" uniqueName="2" name="FCD" queryTableFieldId="29" dataDxfId="5" dataCellStyle="Percent"/>
    <tableColumn id="3" xr3:uid="{76FA338A-DF63-4C35-89D1-7479EB74C01E}" uniqueName="3" name="FCD_TOPSIS_Entropia" queryTableFieldId="30" dataDxfId="4" dataCellStyle="Percent"/>
    <tableColumn id="4" xr3:uid="{FB019E4B-FD1C-4211-A569-CC20385FBE81}" uniqueName="4" name="FCD_TOPSIS" queryTableFieldId="31" dataDxfId="3" dataCellStyle="Percent"/>
    <tableColumn id="5" xr3:uid="{6E3007A6-D7CA-421A-9371-3DE803D355C6}" uniqueName="5" name="TOPSIS_Entropia" queryTableFieldId="32" dataDxfId="2" dataCellStyle="Percent"/>
    <tableColumn id="6" xr3:uid="{10948162-08EC-4B4F-90EE-F825CAE3FE45}" uniqueName="6" name="TOPSIS" queryTableFieldId="33" dataDxfId="1" dataCellStyle="Percent"/>
    <tableColumn id="7" xr3:uid="{17615890-08D5-43C5-AF54-F504CFF6A10E}" uniqueName="7" name="IBOV_VAR" queryTableFieldId="34" dataDxfId="0" dataCellStyle="Percent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C5ED79-1406-44A2-973F-0E2983A7CA19}">
  <dimension ref="A1:F161"/>
  <sheetViews>
    <sheetView topLeftCell="A142" workbookViewId="0">
      <selection activeCell="E146" sqref="E146"/>
    </sheetView>
  </sheetViews>
  <sheetFormatPr defaultRowHeight="14.5" x14ac:dyDescent="0.35"/>
  <cols>
    <col min="1" max="1" width="8.90625" bestFit="1" customWidth="1"/>
    <col min="2" max="2" width="10.453125" bestFit="1" customWidth="1"/>
    <col min="3" max="3" width="14.08984375" bestFit="1" customWidth="1"/>
    <col min="4" max="4" width="10.453125" bestFit="1" customWidth="1"/>
    <col min="5" max="5" width="12.453125" bestFit="1" customWidth="1"/>
    <col min="6" max="6" width="12.453125" style="6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s="3" t="s">
        <v>54</v>
      </c>
      <c r="F1" s="6" t="s">
        <v>55</v>
      </c>
    </row>
    <row r="2" spans="1:6" x14ac:dyDescent="0.35">
      <c r="A2" t="s">
        <v>63</v>
      </c>
      <c r="B2" s="1">
        <v>42369</v>
      </c>
      <c r="C2" s="3">
        <v>1.8556999999999999</v>
      </c>
      <c r="D2" s="1">
        <v>42735</v>
      </c>
      <c r="E2" s="3">
        <v>3.6128719999999999</v>
      </c>
      <c r="F2" s="5">
        <v>0.94690521097160096</v>
      </c>
    </row>
    <row r="3" spans="1:6" x14ac:dyDescent="0.35">
      <c r="A3" t="s">
        <v>73</v>
      </c>
      <c r="B3" s="1">
        <v>42369</v>
      </c>
      <c r="C3" s="3">
        <v>1</v>
      </c>
      <c r="D3" s="1">
        <v>42735</v>
      </c>
      <c r="E3" s="3">
        <v>0.51</v>
      </c>
      <c r="F3" s="5">
        <v>-0.49</v>
      </c>
    </row>
    <row r="4" spans="1:6" x14ac:dyDescent="0.35">
      <c r="A4" t="s">
        <v>64</v>
      </c>
      <c r="B4" s="1">
        <v>42369</v>
      </c>
      <c r="C4" s="3">
        <v>4.0199999999999996</v>
      </c>
      <c r="D4" s="1">
        <v>42735</v>
      </c>
      <c r="E4" s="3">
        <v>8.26</v>
      </c>
      <c r="F4" s="5">
        <v>1.0547263681592001</v>
      </c>
    </row>
    <row r="5" spans="1:6" x14ac:dyDescent="0.35">
      <c r="A5" t="s">
        <v>74</v>
      </c>
      <c r="B5" s="1">
        <v>42369</v>
      </c>
      <c r="C5" s="3">
        <v>2.2279</v>
      </c>
      <c r="D5" s="1">
        <v>42735</v>
      </c>
      <c r="E5" s="3">
        <v>3.8721359999999998</v>
      </c>
      <c r="F5" s="5">
        <v>0.73802055747564999</v>
      </c>
    </row>
    <row r="6" spans="1:6" x14ac:dyDescent="0.35">
      <c r="A6" t="s">
        <v>156</v>
      </c>
      <c r="B6" s="1">
        <v>42369</v>
      </c>
      <c r="C6" s="3">
        <v>5.3136999999999999</v>
      </c>
      <c r="D6" s="1">
        <v>42735</v>
      </c>
      <c r="E6" s="3">
        <v>5.3136749999999999</v>
      </c>
      <c r="F6" s="5">
        <v>-4.7048196172294601E-6</v>
      </c>
    </row>
    <row r="7" spans="1:6" x14ac:dyDescent="0.35">
      <c r="A7" t="s">
        <v>26</v>
      </c>
      <c r="B7" s="1">
        <v>42369</v>
      </c>
      <c r="C7" s="3">
        <v>5</v>
      </c>
      <c r="D7" s="1">
        <v>42735</v>
      </c>
      <c r="E7" s="3">
        <v>5</v>
      </c>
      <c r="F7" s="5">
        <v>0</v>
      </c>
    </row>
    <row r="8" spans="1:6" x14ac:dyDescent="0.35">
      <c r="A8" t="s">
        <v>38</v>
      </c>
      <c r="B8" s="1">
        <v>42369</v>
      </c>
      <c r="C8" s="3">
        <v>4</v>
      </c>
      <c r="D8" s="1">
        <v>42735</v>
      </c>
      <c r="E8" s="3">
        <v>10.85</v>
      </c>
      <c r="F8" s="5">
        <v>1.7124999999999999</v>
      </c>
    </row>
    <row r="9" spans="1:6" x14ac:dyDescent="0.35">
      <c r="A9" t="s">
        <v>125</v>
      </c>
      <c r="B9" s="1">
        <v>42369</v>
      </c>
      <c r="C9" s="3">
        <v>15</v>
      </c>
      <c r="D9" s="1">
        <v>42735</v>
      </c>
      <c r="E9" s="3">
        <v>15</v>
      </c>
      <c r="F9" s="5">
        <v>0</v>
      </c>
    </row>
    <row r="10" spans="1:6" x14ac:dyDescent="0.35">
      <c r="A10" t="s">
        <v>68</v>
      </c>
      <c r="B10" s="1">
        <v>42369</v>
      </c>
      <c r="C10" s="3">
        <v>5</v>
      </c>
      <c r="D10" s="1">
        <v>42735</v>
      </c>
      <c r="E10" s="3">
        <v>2.6</v>
      </c>
      <c r="F10" s="5">
        <v>-0.48</v>
      </c>
    </row>
    <row r="11" spans="1:6" x14ac:dyDescent="0.35">
      <c r="A11" t="s">
        <v>66</v>
      </c>
      <c r="B11" s="1">
        <v>42369</v>
      </c>
      <c r="C11" s="3">
        <v>12.666700000000001</v>
      </c>
      <c r="D11" s="1">
        <v>42735</v>
      </c>
      <c r="E11" s="3">
        <v>19.793333000000001</v>
      </c>
      <c r="F11" s="5">
        <v>0.56262744045410396</v>
      </c>
    </row>
    <row r="12" spans="1:6" x14ac:dyDescent="0.35">
      <c r="A12" t="s">
        <v>132</v>
      </c>
      <c r="B12" s="1">
        <v>42369</v>
      </c>
      <c r="C12" s="3">
        <v>1.27</v>
      </c>
      <c r="D12" s="1">
        <v>42735</v>
      </c>
      <c r="E12" s="3">
        <v>1.41</v>
      </c>
      <c r="F12" s="5">
        <v>0.110236220472441</v>
      </c>
    </row>
    <row r="13" spans="1:6" x14ac:dyDescent="0.35">
      <c r="A13" t="s">
        <v>67</v>
      </c>
      <c r="B13" s="1">
        <v>42369</v>
      </c>
      <c r="C13" s="3">
        <v>213</v>
      </c>
      <c r="D13" s="1">
        <v>42735</v>
      </c>
      <c r="E13" s="3">
        <v>287.97000100000002</v>
      </c>
      <c r="F13" s="5">
        <v>0.35197183568075102</v>
      </c>
    </row>
    <row r="14" spans="1:6" x14ac:dyDescent="0.35">
      <c r="A14" t="s">
        <v>65</v>
      </c>
      <c r="B14" s="1">
        <v>42369</v>
      </c>
      <c r="C14" s="3">
        <v>5.83</v>
      </c>
      <c r="D14" s="1">
        <v>42735</v>
      </c>
      <c r="E14" s="3">
        <v>5.33</v>
      </c>
      <c r="F14" s="5">
        <v>-8.5763293310463201E-2</v>
      </c>
    </row>
    <row r="15" spans="1:6" x14ac:dyDescent="0.35">
      <c r="A15" t="s">
        <v>133</v>
      </c>
      <c r="B15" s="1">
        <v>42369</v>
      </c>
      <c r="C15" s="3">
        <v>1.4</v>
      </c>
      <c r="D15" s="1">
        <v>42735</v>
      </c>
      <c r="E15" s="3">
        <v>1.45</v>
      </c>
      <c r="F15" s="5">
        <v>3.5714285714285803E-2</v>
      </c>
    </row>
    <row r="16" spans="1:6" x14ac:dyDescent="0.35">
      <c r="A16" t="s">
        <v>119</v>
      </c>
      <c r="B16" s="1">
        <v>42369</v>
      </c>
      <c r="C16" s="3">
        <v>1.1299999999999999</v>
      </c>
      <c r="D16" s="1">
        <v>42735</v>
      </c>
      <c r="E16" s="3">
        <v>1.8</v>
      </c>
      <c r="F16" s="5">
        <v>0.59292035398230103</v>
      </c>
    </row>
    <row r="17" spans="1:6" x14ac:dyDescent="0.35">
      <c r="A17" t="s">
        <v>9</v>
      </c>
      <c r="B17" s="1">
        <v>42369</v>
      </c>
      <c r="C17" s="3">
        <v>6.3140000000000001</v>
      </c>
      <c r="D17" s="1">
        <v>42735</v>
      </c>
      <c r="E17" s="3">
        <v>6.5725220000000002</v>
      </c>
      <c r="F17" s="5">
        <v>4.0944250871080203E-2</v>
      </c>
    </row>
    <row r="18" spans="1:6" x14ac:dyDescent="0.35">
      <c r="A18" t="s">
        <v>51</v>
      </c>
      <c r="B18" s="1">
        <v>42369</v>
      </c>
      <c r="C18" s="3">
        <v>20.010000000000002</v>
      </c>
      <c r="D18" s="1">
        <v>42735</v>
      </c>
      <c r="E18" s="3">
        <v>20.010000000000002</v>
      </c>
      <c r="F18" s="5">
        <v>0</v>
      </c>
    </row>
    <row r="19" spans="1:6" x14ac:dyDescent="0.35">
      <c r="A19" t="s">
        <v>39</v>
      </c>
      <c r="B19" s="1">
        <v>42369</v>
      </c>
      <c r="C19" s="3">
        <v>2.7</v>
      </c>
      <c r="D19" s="1">
        <v>42735</v>
      </c>
      <c r="E19" s="3">
        <v>3</v>
      </c>
      <c r="F19" s="5">
        <v>0.11111111111111099</v>
      </c>
    </row>
    <row r="20" spans="1:6" x14ac:dyDescent="0.35">
      <c r="A20" t="s">
        <v>118</v>
      </c>
      <c r="B20" s="1">
        <v>42369</v>
      </c>
      <c r="C20" s="3">
        <v>1.86</v>
      </c>
      <c r="D20" s="1">
        <v>42735</v>
      </c>
      <c r="E20" s="3">
        <v>3.75</v>
      </c>
      <c r="F20" s="5">
        <v>1.0161290322580601</v>
      </c>
    </row>
    <row r="21" spans="1:6" x14ac:dyDescent="0.35">
      <c r="A21" t="s">
        <v>157</v>
      </c>
      <c r="B21" s="1">
        <v>42369</v>
      </c>
      <c r="C21" s="3">
        <v>5.7577999999999996</v>
      </c>
      <c r="D21" s="1">
        <v>42735</v>
      </c>
      <c r="E21" s="3">
        <v>22.801334000000001</v>
      </c>
      <c r="F21" s="5">
        <v>2.9600774601410298</v>
      </c>
    </row>
    <row r="22" spans="1:6" x14ac:dyDescent="0.35">
      <c r="A22" t="s">
        <v>47</v>
      </c>
      <c r="B22" s="1">
        <v>42735</v>
      </c>
      <c r="C22" s="3">
        <v>10.119999999999999</v>
      </c>
      <c r="D22" s="1">
        <v>43100</v>
      </c>
      <c r="E22" s="3">
        <v>16.149999999999999</v>
      </c>
      <c r="F22" s="5">
        <v>0.59584980237154195</v>
      </c>
    </row>
    <row r="23" spans="1:6" x14ac:dyDescent="0.35">
      <c r="A23" t="s">
        <v>73</v>
      </c>
      <c r="B23" s="1">
        <v>42735</v>
      </c>
      <c r="C23" s="3">
        <v>0.51</v>
      </c>
      <c r="D23" s="1">
        <v>43100</v>
      </c>
      <c r="E23" s="3">
        <v>2.0099999999999998</v>
      </c>
      <c r="F23" s="5">
        <v>2.9411764705882302</v>
      </c>
    </row>
    <row r="24" spans="1:6" x14ac:dyDescent="0.35">
      <c r="A24" t="s">
        <v>134</v>
      </c>
      <c r="B24" s="1">
        <v>42735</v>
      </c>
      <c r="C24" s="3">
        <v>5.6</v>
      </c>
      <c r="D24" s="1">
        <v>43100</v>
      </c>
      <c r="E24" s="3">
        <v>7.35</v>
      </c>
      <c r="F24" s="5">
        <v>0.3125</v>
      </c>
    </row>
    <row r="25" spans="1:6" x14ac:dyDescent="0.35">
      <c r="A25" t="s">
        <v>31</v>
      </c>
      <c r="B25" s="1">
        <v>42735</v>
      </c>
      <c r="C25" s="3">
        <v>11.946999999999999</v>
      </c>
      <c r="D25" s="1">
        <v>43100</v>
      </c>
      <c r="E25" s="3">
        <v>10.472089</v>
      </c>
      <c r="F25" s="5">
        <v>-0.123454507407717</v>
      </c>
    </row>
    <row r="26" spans="1:6" x14ac:dyDescent="0.35">
      <c r="A26" t="s">
        <v>74</v>
      </c>
      <c r="B26" s="1">
        <v>42735</v>
      </c>
      <c r="C26" s="3">
        <v>3.8721000000000001</v>
      </c>
      <c r="D26" s="1">
        <v>43100</v>
      </c>
      <c r="E26" s="3">
        <v>5.5500610000000004</v>
      </c>
      <c r="F26" s="5">
        <v>0.433346504480773</v>
      </c>
    </row>
    <row r="27" spans="1:6" x14ac:dyDescent="0.35">
      <c r="A27" t="s">
        <v>77</v>
      </c>
      <c r="B27" s="1">
        <v>42735</v>
      </c>
      <c r="C27" s="3">
        <v>5.45</v>
      </c>
      <c r="D27" s="1">
        <v>43100</v>
      </c>
      <c r="E27" s="3">
        <v>6.15</v>
      </c>
      <c r="F27" s="5">
        <v>0.12844036697247699</v>
      </c>
    </row>
    <row r="28" spans="1:6" x14ac:dyDescent="0.35">
      <c r="A28" t="s">
        <v>132</v>
      </c>
      <c r="B28" s="1">
        <v>42735</v>
      </c>
      <c r="C28" s="3">
        <v>1.41</v>
      </c>
      <c r="D28" s="1">
        <v>43100</v>
      </c>
      <c r="E28" s="3">
        <v>1.75</v>
      </c>
      <c r="F28" s="5">
        <v>0.24113475177304999</v>
      </c>
    </row>
    <row r="29" spans="1:6" x14ac:dyDescent="0.35">
      <c r="A29" t="s">
        <v>135</v>
      </c>
      <c r="B29" s="1">
        <v>42735</v>
      </c>
      <c r="C29" s="3">
        <v>3.6</v>
      </c>
      <c r="D29" s="1">
        <v>43100</v>
      </c>
      <c r="E29" s="3">
        <v>3.55</v>
      </c>
      <c r="F29" s="5">
        <v>-1.3888888888888999E-2</v>
      </c>
    </row>
    <row r="30" spans="1:6" x14ac:dyDescent="0.35">
      <c r="A30" t="s">
        <v>136</v>
      </c>
      <c r="B30" s="1">
        <v>42735</v>
      </c>
      <c r="C30" s="3">
        <v>143.63890000000001</v>
      </c>
      <c r="D30" s="1">
        <v>43100</v>
      </c>
      <c r="E30" s="3">
        <v>205.55834999999999</v>
      </c>
      <c r="F30" s="5">
        <v>0.43107716642218802</v>
      </c>
    </row>
    <row r="31" spans="1:6" x14ac:dyDescent="0.35">
      <c r="A31" t="s">
        <v>38</v>
      </c>
      <c r="B31" s="1">
        <v>42735</v>
      </c>
      <c r="C31" s="3">
        <v>10.85</v>
      </c>
      <c r="D31" s="1">
        <v>43100</v>
      </c>
      <c r="E31" s="3">
        <v>8.3800000000000008</v>
      </c>
      <c r="F31" s="5">
        <v>-0.22764976958525299</v>
      </c>
    </row>
    <row r="32" spans="1:6" x14ac:dyDescent="0.35">
      <c r="A32" t="s">
        <v>118</v>
      </c>
      <c r="B32" s="1">
        <v>42735</v>
      </c>
      <c r="C32" s="3">
        <v>3.75</v>
      </c>
      <c r="D32" s="1">
        <v>43100</v>
      </c>
      <c r="E32" s="3">
        <v>3.53</v>
      </c>
      <c r="F32" s="5">
        <v>-5.8666666666666797E-2</v>
      </c>
    </row>
    <row r="33" spans="1:6" x14ac:dyDescent="0.35">
      <c r="A33" t="s">
        <v>10</v>
      </c>
      <c r="B33" s="1">
        <v>42735</v>
      </c>
      <c r="C33" s="3">
        <v>2.79</v>
      </c>
      <c r="D33" s="1">
        <v>43100</v>
      </c>
      <c r="E33" s="3">
        <v>3.11</v>
      </c>
      <c r="F33" s="5">
        <v>0.114695340501792</v>
      </c>
    </row>
    <row r="34" spans="1:6" x14ac:dyDescent="0.35">
      <c r="A34" t="s">
        <v>88</v>
      </c>
      <c r="B34" s="1">
        <v>42735</v>
      </c>
      <c r="C34" s="3">
        <v>30.01</v>
      </c>
      <c r="D34" s="1">
        <v>43100</v>
      </c>
      <c r="E34" s="3">
        <v>35</v>
      </c>
      <c r="F34" s="5">
        <v>0.166277907364212</v>
      </c>
    </row>
    <row r="35" spans="1:6" x14ac:dyDescent="0.35">
      <c r="A35" t="s">
        <v>91</v>
      </c>
      <c r="B35" s="1">
        <v>42735</v>
      </c>
      <c r="C35" s="3">
        <v>25.21</v>
      </c>
      <c r="D35" s="1">
        <v>43100</v>
      </c>
      <c r="E35" s="3">
        <v>19.350000000000001</v>
      </c>
      <c r="F35" s="5">
        <v>-0.23244744149147201</v>
      </c>
    </row>
    <row r="36" spans="1:6" x14ac:dyDescent="0.35">
      <c r="A36" t="s">
        <v>80</v>
      </c>
      <c r="B36" s="1">
        <v>42735</v>
      </c>
      <c r="C36" s="3">
        <v>20</v>
      </c>
      <c r="D36" s="1">
        <v>43100</v>
      </c>
      <c r="E36" s="3">
        <v>25.1</v>
      </c>
      <c r="F36" s="5">
        <v>0.255</v>
      </c>
    </row>
    <row r="37" spans="1:6" x14ac:dyDescent="0.35">
      <c r="A37" t="s">
        <v>26</v>
      </c>
      <c r="B37" s="1">
        <v>42735</v>
      </c>
      <c r="C37" s="3">
        <v>5</v>
      </c>
      <c r="D37" s="1">
        <v>43100</v>
      </c>
      <c r="E37" s="3">
        <v>5</v>
      </c>
      <c r="F37" s="5">
        <v>0</v>
      </c>
    </row>
    <row r="38" spans="1:6" x14ac:dyDescent="0.35">
      <c r="A38" t="s">
        <v>79</v>
      </c>
      <c r="B38" s="1">
        <v>42735</v>
      </c>
      <c r="C38" s="3">
        <v>28</v>
      </c>
      <c r="D38" s="1">
        <v>43100</v>
      </c>
      <c r="E38" s="3">
        <v>28.408000999999999</v>
      </c>
      <c r="F38" s="5">
        <v>1.45714642857142E-2</v>
      </c>
    </row>
    <row r="39" spans="1:6" x14ac:dyDescent="0.35">
      <c r="A39" t="s">
        <v>51</v>
      </c>
      <c r="B39" s="1">
        <v>42735</v>
      </c>
      <c r="C39" s="3">
        <v>20.010000000000002</v>
      </c>
      <c r="D39" s="1">
        <v>43100</v>
      </c>
      <c r="E39" s="3">
        <v>18.690000999999999</v>
      </c>
      <c r="F39" s="5">
        <v>-6.5966966516741707E-2</v>
      </c>
    </row>
    <row r="40" spans="1:6" x14ac:dyDescent="0.35">
      <c r="A40" t="s">
        <v>158</v>
      </c>
      <c r="B40" s="1">
        <v>42735</v>
      </c>
      <c r="C40" s="3">
        <v>15.89</v>
      </c>
      <c r="D40" s="1">
        <v>43100</v>
      </c>
      <c r="E40" s="3">
        <v>27.1</v>
      </c>
      <c r="F40" s="5">
        <v>0.70547514159849001</v>
      </c>
    </row>
    <row r="41" spans="1:6" x14ac:dyDescent="0.35">
      <c r="A41" t="s">
        <v>137</v>
      </c>
      <c r="B41" s="1">
        <v>42735</v>
      </c>
      <c r="C41" s="3">
        <v>7.9107000000000003</v>
      </c>
      <c r="D41" s="1">
        <v>43100</v>
      </c>
      <c r="E41" s="3">
        <v>7.1276039999999998</v>
      </c>
      <c r="F41" s="5">
        <v>-9.8991998179680699E-2</v>
      </c>
    </row>
    <row r="42" spans="1:6" x14ac:dyDescent="0.35">
      <c r="A42" t="s">
        <v>24</v>
      </c>
      <c r="B42" s="1">
        <v>43100</v>
      </c>
      <c r="C42" s="3">
        <v>28.531300000000002</v>
      </c>
      <c r="D42" s="1">
        <v>43465</v>
      </c>
      <c r="E42" s="3">
        <v>23.559792999999999</v>
      </c>
      <c r="F42" s="5">
        <v>-0.174247475579451</v>
      </c>
    </row>
    <row r="43" spans="1:6" x14ac:dyDescent="0.35">
      <c r="A43" t="s">
        <v>4</v>
      </c>
      <c r="B43" s="1">
        <v>43100</v>
      </c>
      <c r="C43" s="3">
        <v>3.5</v>
      </c>
      <c r="D43" s="1">
        <v>43465</v>
      </c>
      <c r="E43" s="3">
        <v>3.15</v>
      </c>
      <c r="F43" s="5">
        <v>-0.1</v>
      </c>
    </row>
    <row r="44" spans="1:6" x14ac:dyDescent="0.35">
      <c r="A44" t="s">
        <v>47</v>
      </c>
      <c r="B44" s="1">
        <v>43100</v>
      </c>
      <c r="C44" s="3">
        <v>16.149999999999999</v>
      </c>
      <c r="D44" s="1">
        <v>43465</v>
      </c>
      <c r="E44" s="3">
        <v>14.81</v>
      </c>
      <c r="F44" s="5">
        <v>-8.2972136222910095E-2</v>
      </c>
    </row>
    <row r="45" spans="1:6" x14ac:dyDescent="0.35">
      <c r="A45" t="s">
        <v>31</v>
      </c>
      <c r="B45" s="1">
        <v>43100</v>
      </c>
      <c r="C45" s="3">
        <v>10.472099999999999</v>
      </c>
      <c r="D45" s="1">
        <v>43465</v>
      </c>
      <c r="E45" s="3">
        <v>4.9066409999999996</v>
      </c>
      <c r="F45" s="5">
        <v>-0.53145586845045401</v>
      </c>
    </row>
    <row r="46" spans="1:6" x14ac:dyDescent="0.35">
      <c r="A46" t="s">
        <v>50</v>
      </c>
      <c r="B46" s="1">
        <v>43100</v>
      </c>
      <c r="C46" s="3">
        <v>25</v>
      </c>
      <c r="D46" s="1">
        <v>43465</v>
      </c>
      <c r="E46" s="3">
        <v>23</v>
      </c>
      <c r="F46" s="5">
        <v>-0.08</v>
      </c>
    </row>
    <row r="47" spans="1:6" x14ac:dyDescent="0.35">
      <c r="A47" t="s">
        <v>82</v>
      </c>
      <c r="B47" s="1">
        <v>43100</v>
      </c>
      <c r="C47" s="3">
        <v>38.29</v>
      </c>
      <c r="D47" s="1">
        <v>43465</v>
      </c>
      <c r="E47" s="3">
        <v>32.5</v>
      </c>
      <c r="F47" s="5">
        <v>-0.151214416296683</v>
      </c>
    </row>
    <row r="48" spans="1:6" x14ac:dyDescent="0.35">
      <c r="A48" t="s">
        <v>15</v>
      </c>
      <c r="B48" s="1">
        <v>43100</v>
      </c>
      <c r="C48" s="3">
        <v>19.2667</v>
      </c>
      <c r="D48" s="1">
        <v>43465</v>
      </c>
      <c r="E48" s="3">
        <v>24.198596999999999</v>
      </c>
      <c r="F48" s="5">
        <v>0.25598037027617598</v>
      </c>
    </row>
    <row r="49" spans="1:6" x14ac:dyDescent="0.35">
      <c r="A49" t="s">
        <v>10</v>
      </c>
      <c r="B49" s="1">
        <v>43100</v>
      </c>
      <c r="C49" s="3">
        <v>3.11</v>
      </c>
      <c r="D49" s="1">
        <v>43465</v>
      </c>
      <c r="E49" s="3">
        <v>2.2400000000000002</v>
      </c>
      <c r="F49" s="5">
        <v>-0.27974276527331199</v>
      </c>
    </row>
    <row r="50" spans="1:6" x14ac:dyDescent="0.35">
      <c r="A50" t="s">
        <v>29</v>
      </c>
      <c r="B50" s="1">
        <v>43100</v>
      </c>
      <c r="C50" s="3">
        <v>8.8000000000000007</v>
      </c>
      <c r="D50" s="1">
        <v>43465</v>
      </c>
      <c r="E50" s="3">
        <v>13.97</v>
      </c>
      <c r="F50" s="5">
        <v>0.58750000000000002</v>
      </c>
    </row>
    <row r="51" spans="1:6" x14ac:dyDescent="0.35">
      <c r="A51" t="s">
        <v>90</v>
      </c>
      <c r="B51" s="1">
        <v>43100</v>
      </c>
      <c r="C51" s="3">
        <v>1.2303999999999999</v>
      </c>
      <c r="D51" s="1">
        <v>43465</v>
      </c>
      <c r="E51" s="3">
        <v>1.7475000000000001</v>
      </c>
      <c r="F51" s="5">
        <v>0.42026983094928499</v>
      </c>
    </row>
    <row r="52" spans="1:6" x14ac:dyDescent="0.35">
      <c r="A52" t="s">
        <v>81</v>
      </c>
      <c r="B52" s="1">
        <v>43100</v>
      </c>
      <c r="C52" s="3">
        <v>5.5103</v>
      </c>
      <c r="D52" s="1">
        <v>43465</v>
      </c>
      <c r="E52" s="3">
        <v>8.6487599999999993</v>
      </c>
      <c r="F52" s="5">
        <v>0.56956245576465903</v>
      </c>
    </row>
    <row r="53" spans="1:6" x14ac:dyDescent="0.35">
      <c r="A53" t="s">
        <v>18</v>
      </c>
      <c r="B53" s="1">
        <v>43100</v>
      </c>
      <c r="C53" s="3">
        <v>24</v>
      </c>
      <c r="D53" s="1">
        <v>43465</v>
      </c>
      <c r="E53" s="3">
        <v>33.700001</v>
      </c>
      <c r="F53" s="5">
        <v>0.40416670833333301</v>
      </c>
    </row>
    <row r="54" spans="1:6" x14ac:dyDescent="0.35">
      <c r="A54" t="s">
        <v>28</v>
      </c>
      <c r="B54" s="1">
        <v>43100</v>
      </c>
      <c r="C54" s="3">
        <v>9.81</v>
      </c>
      <c r="D54" s="1">
        <v>43465</v>
      </c>
      <c r="E54" s="3">
        <v>11.59</v>
      </c>
      <c r="F54" s="5">
        <v>0.18144750254841999</v>
      </c>
    </row>
    <row r="55" spans="1:6" x14ac:dyDescent="0.35">
      <c r="A55" t="s">
        <v>159</v>
      </c>
      <c r="B55" s="1">
        <v>43100</v>
      </c>
      <c r="C55" s="3">
        <v>260</v>
      </c>
      <c r="D55" s="1">
        <v>43465</v>
      </c>
      <c r="E55" s="3">
        <v>214.39999399999999</v>
      </c>
      <c r="F55" s="5">
        <v>-0.17538463846153801</v>
      </c>
    </row>
    <row r="56" spans="1:6" x14ac:dyDescent="0.35">
      <c r="A56" t="s">
        <v>139</v>
      </c>
      <c r="B56" s="1">
        <v>43100</v>
      </c>
      <c r="C56" s="3">
        <v>4.6500000000000004</v>
      </c>
      <c r="D56" s="1">
        <v>43465</v>
      </c>
      <c r="E56" s="3">
        <v>4.3</v>
      </c>
      <c r="F56" s="5">
        <v>-7.5268817204301203E-2</v>
      </c>
    </row>
    <row r="57" spans="1:6" x14ac:dyDescent="0.35">
      <c r="A57" t="s">
        <v>58</v>
      </c>
      <c r="B57" s="1">
        <v>43100</v>
      </c>
      <c r="C57" s="3">
        <v>3.9695999999999998</v>
      </c>
      <c r="D57" s="1">
        <v>43465</v>
      </c>
      <c r="E57" s="3">
        <v>4.08</v>
      </c>
      <c r="F57" s="5">
        <v>2.7811366384522501E-2</v>
      </c>
    </row>
    <row r="58" spans="1:6" x14ac:dyDescent="0.35">
      <c r="A58" t="s">
        <v>27</v>
      </c>
      <c r="B58" s="1">
        <v>43100</v>
      </c>
      <c r="C58" s="3">
        <v>3.5</v>
      </c>
      <c r="D58" s="1">
        <v>43465</v>
      </c>
      <c r="E58" s="3">
        <v>2.21</v>
      </c>
      <c r="F58" s="5">
        <v>-0.36857142857142899</v>
      </c>
    </row>
    <row r="59" spans="1:6" x14ac:dyDescent="0.35">
      <c r="A59" t="s">
        <v>83</v>
      </c>
      <c r="B59" s="1">
        <v>43100</v>
      </c>
      <c r="C59" s="3">
        <v>3.1111</v>
      </c>
      <c r="D59" s="1">
        <v>43465</v>
      </c>
      <c r="E59" s="3">
        <v>3.9011110000000002</v>
      </c>
      <c r="F59" s="5">
        <v>0.253933014046479</v>
      </c>
    </row>
    <row r="60" spans="1:6" x14ac:dyDescent="0.35">
      <c r="A60" t="s">
        <v>17</v>
      </c>
      <c r="B60" s="1">
        <v>43100</v>
      </c>
      <c r="C60" s="3">
        <v>13.1145</v>
      </c>
      <c r="D60" s="1">
        <v>43465</v>
      </c>
      <c r="E60" s="3">
        <v>14.894378</v>
      </c>
      <c r="F60" s="5">
        <v>0.13571832704258599</v>
      </c>
    </row>
    <row r="61" spans="1:6" x14ac:dyDescent="0.35">
      <c r="A61" t="s">
        <v>127</v>
      </c>
      <c r="B61" s="1">
        <v>43100</v>
      </c>
      <c r="C61" s="3">
        <v>8.3972999999999995</v>
      </c>
      <c r="D61" s="1">
        <v>43465</v>
      </c>
      <c r="E61" s="3">
        <v>10.916497</v>
      </c>
      <c r="F61" s="5">
        <v>0.30000083360127699</v>
      </c>
    </row>
    <row r="62" spans="1:6" x14ac:dyDescent="0.35">
      <c r="A62" t="s">
        <v>4</v>
      </c>
      <c r="B62" s="1">
        <v>43465</v>
      </c>
      <c r="C62" s="3">
        <v>3.15</v>
      </c>
      <c r="D62" s="1">
        <v>43830</v>
      </c>
      <c r="E62" s="3">
        <v>4.95</v>
      </c>
      <c r="F62" s="5">
        <v>0.57142857142857195</v>
      </c>
    </row>
    <row r="63" spans="1:6" x14ac:dyDescent="0.35">
      <c r="A63" t="s">
        <v>5</v>
      </c>
      <c r="B63" s="1">
        <v>43465</v>
      </c>
      <c r="C63" s="3">
        <v>9.2644000000000002</v>
      </c>
      <c r="D63" s="1">
        <v>43830</v>
      </c>
      <c r="E63" s="3">
        <v>16.099194000000001</v>
      </c>
      <c r="F63" s="5">
        <v>0.73774815422477402</v>
      </c>
    </row>
    <row r="64" spans="1:6" x14ac:dyDescent="0.35">
      <c r="A64" t="s">
        <v>9</v>
      </c>
      <c r="B64" s="1">
        <v>43465</v>
      </c>
      <c r="C64" s="3">
        <v>5.4290000000000003</v>
      </c>
      <c r="D64" s="1">
        <v>43830</v>
      </c>
      <c r="E64" s="3">
        <v>9.9035290000000007</v>
      </c>
      <c r="F64" s="5">
        <v>0.82419027445201698</v>
      </c>
    </row>
    <row r="65" spans="1:6" x14ac:dyDescent="0.35">
      <c r="A65" t="s">
        <v>141</v>
      </c>
      <c r="B65" s="1">
        <v>43465</v>
      </c>
      <c r="C65" s="3">
        <v>4.13</v>
      </c>
      <c r="D65" s="1">
        <v>43830</v>
      </c>
      <c r="E65" s="3">
        <v>6.3</v>
      </c>
      <c r="F65" s="5">
        <v>0.52542372881355903</v>
      </c>
    </row>
    <row r="66" spans="1:6" x14ac:dyDescent="0.35">
      <c r="A66" t="s">
        <v>82</v>
      </c>
      <c r="B66" s="1">
        <v>43465</v>
      </c>
      <c r="C66" s="3">
        <v>32.5</v>
      </c>
      <c r="D66" s="1">
        <v>43830</v>
      </c>
      <c r="E66" s="3">
        <v>46.990001999999997</v>
      </c>
      <c r="F66" s="5">
        <v>0.445846215384615</v>
      </c>
    </row>
    <row r="67" spans="1:6" x14ac:dyDescent="0.35">
      <c r="A67" t="s">
        <v>6</v>
      </c>
      <c r="B67" s="1">
        <v>43465</v>
      </c>
      <c r="C67" s="3">
        <v>11.2</v>
      </c>
      <c r="D67" s="1">
        <v>43830</v>
      </c>
      <c r="E67" s="3">
        <v>18.98</v>
      </c>
      <c r="F67" s="5">
        <v>0.69464285714285701</v>
      </c>
    </row>
    <row r="68" spans="1:6" x14ac:dyDescent="0.35">
      <c r="A68" t="s">
        <v>17</v>
      </c>
      <c r="B68" s="1">
        <v>43465</v>
      </c>
      <c r="C68" s="3">
        <v>14.894399999999999</v>
      </c>
      <c r="D68" s="1">
        <v>43830</v>
      </c>
      <c r="E68" s="3">
        <v>22.763069000000002</v>
      </c>
      <c r="F68" s="5">
        <v>0.52829714523579296</v>
      </c>
    </row>
    <row r="69" spans="1:6" x14ac:dyDescent="0.35">
      <c r="A69" t="s">
        <v>142</v>
      </c>
      <c r="B69" s="1">
        <v>43465</v>
      </c>
      <c r="C69" s="3">
        <v>7.09</v>
      </c>
      <c r="D69" s="1">
        <v>43830</v>
      </c>
      <c r="E69" s="3">
        <v>8.4</v>
      </c>
      <c r="F69" s="5">
        <v>0.184767277856136</v>
      </c>
    </row>
    <row r="70" spans="1:6" x14ac:dyDescent="0.35">
      <c r="A70" t="s">
        <v>140</v>
      </c>
      <c r="B70" s="1">
        <v>43465</v>
      </c>
      <c r="C70" s="3">
        <v>17.7195</v>
      </c>
      <c r="D70" s="1">
        <v>43830</v>
      </c>
      <c r="E70" s="3">
        <v>16.715426999999998</v>
      </c>
      <c r="F70" s="5">
        <v>-5.6664860746635098E-2</v>
      </c>
    </row>
    <row r="71" spans="1:6" x14ac:dyDescent="0.35">
      <c r="A71" t="s">
        <v>90</v>
      </c>
      <c r="B71" s="1">
        <v>43465</v>
      </c>
      <c r="C71" s="3">
        <v>1.7475000000000001</v>
      </c>
      <c r="D71" s="1">
        <v>43830</v>
      </c>
      <c r="E71" s="3">
        <v>2.5325000000000002</v>
      </c>
      <c r="F71" s="5">
        <v>0.44921316165951403</v>
      </c>
    </row>
    <row r="72" spans="1:6" x14ac:dyDescent="0.35">
      <c r="A72" t="s">
        <v>144</v>
      </c>
      <c r="B72" s="1">
        <v>43465</v>
      </c>
      <c r="C72" s="3">
        <v>6.5</v>
      </c>
      <c r="D72" s="1">
        <v>43830</v>
      </c>
      <c r="E72" s="3">
        <v>8.9</v>
      </c>
      <c r="F72" s="5">
        <v>0.36923076923076897</v>
      </c>
    </row>
    <row r="73" spans="1:6" x14ac:dyDescent="0.35">
      <c r="A73" t="s">
        <v>138</v>
      </c>
      <c r="B73" s="1">
        <v>43465</v>
      </c>
      <c r="C73" s="3">
        <v>16.3066</v>
      </c>
      <c r="D73" s="1">
        <v>43830</v>
      </c>
      <c r="E73" s="3">
        <v>19.646477000000001</v>
      </c>
      <c r="F73" s="5">
        <v>0.20481749720971901</v>
      </c>
    </row>
    <row r="74" spans="1:6" x14ac:dyDescent="0.35">
      <c r="A74" t="s">
        <v>7</v>
      </c>
      <c r="B74" s="1">
        <v>43465</v>
      </c>
      <c r="C74" s="3">
        <v>18.27</v>
      </c>
      <c r="D74" s="1">
        <v>43830</v>
      </c>
      <c r="E74" s="3">
        <v>36.93</v>
      </c>
      <c r="F74" s="5">
        <v>1.02134646962233</v>
      </c>
    </row>
    <row r="75" spans="1:6" x14ac:dyDescent="0.35">
      <c r="A75" t="s">
        <v>18</v>
      </c>
      <c r="B75" s="1">
        <v>43465</v>
      </c>
      <c r="C75" s="3">
        <v>33.700000000000003</v>
      </c>
      <c r="D75" s="1">
        <v>43830</v>
      </c>
      <c r="E75" s="3">
        <v>43</v>
      </c>
      <c r="F75" s="5">
        <v>0.27596439169139497</v>
      </c>
    </row>
    <row r="76" spans="1:6" x14ac:dyDescent="0.35">
      <c r="A76" t="s">
        <v>137</v>
      </c>
      <c r="B76" s="1">
        <v>43465</v>
      </c>
      <c r="C76" s="3">
        <v>3.93</v>
      </c>
      <c r="D76" s="1">
        <v>43830</v>
      </c>
      <c r="E76" s="3">
        <v>6.47</v>
      </c>
      <c r="F76" s="5">
        <v>0.646310432569974</v>
      </c>
    </row>
    <row r="77" spans="1:6" x14ac:dyDescent="0.35">
      <c r="A77" t="s">
        <v>27</v>
      </c>
      <c r="B77" s="1">
        <v>43465</v>
      </c>
      <c r="C77" s="3">
        <v>2.21</v>
      </c>
      <c r="D77" s="1">
        <v>43830</v>
      </c>
      <c r="E77" s="3">
        <v>4.2</v>
      </c>
      <c r="F77" s="5">
        <v>0.90045248868778305</v>
      </c>
    </row>
    <row r="78" spans="1:6" x14ac:dyDescent="0.35">
      <c r="A78" t="s">
        <v>143</v>
      </c>
      <c r="B78" s="1">
        <v>43465</v>
      </c>
      <c r="C78" s="3">
        <v>41.166600000000003</v>
      </c>
      <c r="D78" s="1">
        <v>43830</v>
      </c>
      <c r="E78" s="3">
        <v>62.305152999999997</v>
      </c>
      <c r="F78" s="5">
        <v>0.51348794896833805</v>
      </c>
    </row>
    <row r="79" spans="1:6" x14ac:dyDescent="0.35">
      <c r="A79" t="s">
        <v>10</v>
      </c>
      <c r="B79" s="1">
        <v>43465</v>
      </c>
      <c r="C79" s="3">
        <v>2.2400000000000002</v>
      </c>
      <c r="D79" s="1">
        <v>43830</v>
      </c>
      <c r="E79" s="3">
        <v>10.19</v>
      </c>
      <c r="F79" s="5">
        <v>3.5491071428571401</v>
      </c>
    </row>
    <row r="80" spans="1:6" x14ac:dyDescent="0.35">
      <c r="A80" t="s">
        <v>160</v>
      </c>
      <c r="B80" s="1">
        <v>43465</v>
      </c>
      <c r="C80" s="3">
        <v>26.8</v>
      </c>
      <c r="D80" s="1">
        <v>43830</v>
      </c>
      <c r="E80" s="3">
        <v>28.049999</v>
      </c>
      <c r="F80" s="5">
        <v>4.6641753731343299E-2</v>
      </c>
    </row>
    <row r="81" spans="1:6" x14ac:dyDescent="0.35">
      <c r="A81" t="s">
        <v>16</v>
      </c>
      <c r="B81" s="1">
        <v>43465</v>
      </c>
      <c r="C81" s="3">
        <v>8.3650000000000002</v>
      </c>
      <c r="D81" s="1">
        <v>43830</v>
      </c>
      <c r="E81" s="3">
        <v>17.392499999999998</v>
      </c>
      <c r="F81" s="5">
        <v>1.0791990436341901</v>
      </c>
    </row>
    <row r="82" spans="1:6" x14ac:dyDescent="0.35">
      <c r="A82" t="s">
        <v>4</v>
      </c>
      <c r="B82" s="1">
        <v>43830</v>
      </c>
      <c r="C82" s="3">
        <v>4.95</v>
      </c>
      <c r="D82" s="1">
        <v>44196</v>
      </c>
      <c r="E82" s="3">
        <v>5.38</v>
      </c>
      <c r="F82" s="5">
        <v>8.6868686868686804E-2</v>
      </c>
    </row>
    <row r="83" spans="1:6" x14ac:dyDescent="0.35">
      <c r="A83" t="s">
        <v>35</v>
      </c>
      <c r="B83" s="1">
        <v>43830</v>
      </c>
      <c r="C83" s="3">
        <v>21.463899999999999</v>
      </c>
      <c r="D83" s="1">
        <v>44196</v>
      </c>
      <c r="E83" s="3">
        <v>28.649607</v>
      </c>
      <c r="F83" s="5">
        <v>0.33478105097396099</v>
      </c>
    </row>
    <row r="84" spans="1:6" x14ac:dyDescent="0.35">
      <c r="A84" t="s">
        <v>24</v>
      </c>
      <c r="B84" s="1">
        <v>43830</v>
      </c>
      <c r="C84" s="3">
        <v>29.549600000000002</v>
      </c>
      <c r="D84" s="1">
        <v>44196</v>
      </c>
      <c r="E84" s="3">
        <v>34.940372000000004</v>
      </c>
      <c r="F84" s="5">
        <v>0.18243130194655799</v>
      </c>
    </row>
    <row r="85" spans="1:6" x14ac:dyDescent="0.35">
      <c r="A85" t="s">
        <v>10</v>
      </c>
      <c r="B85" s="1">
        <v>43830</v>
      </c>
      <c r="C85" s="3">
        <v>10.19</v>
      </c>
      <c r="D85" s="1">
        <v>44196</v>
      </c>
      <c r="E85" s="3">
        <v>5.0999999999999996</v>
      </c>
      <c r="F85" s="5">
        <v>-0.499509322865554</v>
      </c>
    </row>
    <row r="86" spans="1:6" x14ac:dyDescent="0.35">
      <c r="A86" t="s">
        <v>9</v>
      </c>
      <c r="B86" s="1">
        <v>43830</v>
      </c>
      <c r="C86" s="3">
        <v>9.9034999999999993</v>
      </c>
      <c r="D86" s="1">
        <v>44196</v>
      </c>
      <c r="E86" s="3">
        <v>14.427731</v>
      </c>
      <c r="F86" s="5">
        <v>0.456831524208613</v>
      </c>
    </row>
    <row r="87" spans="1:6" x14ac:dyDescent="0.35">
      <c r="A87" t="s">
        <v>56</v>
      </c>
      <c r="B87" s="1">
        <v>43830</v>
      </c>
      <c r="C87" s="3">
        <v>11.768599999999999</v>
      </c>
      <c r="D87" s="1">
        <v>44196</v>
      </c>
      <c r="E87" s="3">
        <v>9.9373430000000003</v>
      </c>
      <c r="F87" s="5">
        <v>-0.155605339632582</v>
      </c>
    </row>
    <row r="88" spans="1:6" x14ac:dyDescent="0.35">
      <c r="A88" t="s">
        <v>145</v>
      </c>
      <c r="B88" s="1">
        <v>43830</v>
      </c>
      <c r="C88" s="3">
        <v>6.48</v>
      </c>
      <c r="D88" s="1">
        <v>44196</v>
      </c>
      <c r="E88" s="3">
        <v>8.125</v>
      </c>
      <c r="F88" s="5">
        <v>0.25385802469135799</v>
      </c>
    </row>
    <row r="89" spans="1:6" x14ac:dyDescent="0.35">
      <c r="A89" t="s">
        <v>141</v>
      </c>
      <c r="B89" s="1">
        <v>43830</v>
      </c>
      <c r="C89" s="3">
        <v>6.3</v>
      </c>
      <c r="D89" s="1">
        <v>44196</v>
      </c>
      <c r="E89" s="3">
        <v>5.45</v>
      </c>
      <c r="F89" s="5">
        <v>-0.134920634920635</v>
      </c>
    </row>
    <row r="90" spans="1:6" x14ac:dyDescent="0.35">
      <c r="A90" t="s">
        <v>129</v>
      </c>
      <c r="B90" s="1">
        <v>43830</v>
      </c>
      <c r="C90" s="3">
        <v>33.507100000000001</v>
      </c>
      <c r="D90" s="1">
        <v>44196</v>
      </c>
      <c r="E90" s="3">
        <v>20.979986</v>
      </c>
      <c r="F90" s="5">
        <v>-0.37386446454632</v>
      </c>
    </row>
    <row r="91" spans="1:6" x14ac:dyDescent="0.35">
      <c r="A91" t="s">
        <v>5</v>
      </c>
      <c r="B91" s="1">
        <v>43830</v>
      </c>
      <c r="C91" s="3">
        <v>16.0992</v>
      </c>
      <c r="D91" s="1">
        <v>44196</v>
      </c>
      <c r="E91" s="3">
        <v>13.20529</v>
      </c>
      <c r="F91" s="5">
        <v>-0.17975489465315</v>
      </c>
    </row>
    <row r="92" spans="1:6" x14ac:dyDescent="0.35">
      <c r="A92" t="s">
        <v>28</v>
      </c>
      <c r="B92" s="1">
        <v>43830</v>
      </c>
      <c r="C92" s="3">
        <v>25.8</v>
      </c>
      <c r="D92" s="1">
        <v>44196</v>
      </c>
      <c r="E92" s="3">
        <v>23.66</v>
      </c>
      <c r="F92" s="5">
        <v>-8.2945736434108505E-2</v>
      </c>
    </row>
    <row r="93" spans="1:6" x14ac:dyDescent="0.35">
      <c r="A93" t="s">
        <v>7</v>
      </c>
      <c r="B93" s="1">
        <v>43830</v>
      </c>
      <c r="C93" s="3">
        <v>36.93</v>
      </c>
      <c r="D93" s="1">
        <v>44196</v>
      </c>
      <c r="E93" s="3">
        <v>75.410004000000001</v>
      </c>
      <c r="F93" s="5">
        <v>1.0419714053614899</v>
      </c>
    </row>
    <row r="94" spans="1:6" x14ac:dyDescent="0.35">
      <c r="A94" t="s">
        <v>59</v>
      </c>
      <c r="B94" s="1">
        <v>43830</v>
      </c>
      <c r="C94" s="3">
        <v>47.52</v>
      </c>
      <c r="D94" s="1">
        <v>44196</v>
      </c>
      <c r="E94" s="3">
        <v>43.759998000000003</v>
      </c>
      <c r="F94" s="5">
        <v>-7.9124621212121202E-2</v>
      </c>
    </row>
    <row r="95" spans="1:6" x14ac:dyDescent="0.35">
      <c r="A95" t="s">
        <v>146</v>
      </c>
      <c r="B95" s="1">
        <v>43830</v>
      </c>
      <c r="C95" s="3">
        <v>10.25</v>
      </c>
      <c r="D95" s="1">
        <v>44196</v>
      </c>
      <c r="E95" s="3">
        <v>8.16</v>
      </c>
      <c r="F95" s="5">
        <v>-0.20390243902439001</v>
      </c>
    </row>
    <row r="96" spans="1:6" x14ac:dyDescent="0.35">
      <c r="A96" t="s">
        <v>144</v>
      </c>
      <c r="B96" s="1">
        <v>43830</v>
      </c>
      <c r="C96" s="3">
        <v>8.9</v>
      </c>
      <c r="D96" s="1">
        <v>44196</v>
      </c>
      <c r="E96" s="3">
        <v>9.0500000000000007</v>
      </c>
      <c r="F96" s="5">
        <v>1.68539325842696E-2</v>
      </c>
    </row>
    <row r="97" spans="1:6" x14ac:dyDescent="0.35">
      <c r="A97" t="s">
        <v>147</v>
      </c>
      <c r="B97" s="1">
        <v>43830</v>
      </c>
      <c r="C97" s="3">
        <v>61</v>
      </c>
      <c r="D97" s="1">
        <v>44196</v>
      </c>
      <c r="E97" s="3">
        <v>63</v>
      </c>
      <c r="F97" s="5">
        <v>3.2786885245901697E-2</v>
      </c>
    </row>
    <row r="98" spans="1:6" x14ac:dyDescent="0.35">
      <c r="A98" t="s">
        <v>60</v>
      </c>
      <c r="B98" s="1">
        <v>43830</v>
      </c>
      <c r="C98" s="3">
        <v>19.633299999999998</v>
      </c>
      <c r="D98" s="1">
        <v>44196</v>
      </c>
      <c r="E98" s="3">
        <v>21.799999</v>
      </c>
      <c r="F98" s="5">
        <v>0.11035837072728499</v>
      </c>
    </row>
    <row r="99" spans="1:6" x14ac:dyDescent="0.35">
      <c r="A99" t="s">
        <v>25</v>
      </c>
      <c r="B99" s="1">
        <v>43830</v>
      </c>
      <c r="C99" s="3">
        <v>37.700000000000003</v>
      </c>
      <c r="D99" s="1">
        <v>44196</v>
      </c>
      <c r="E99" s="3">
        <v>29.629999000000002</v>
      </c>
      <c r="F99" s="5">
        <v>-0.214058381962865</v>
      </c>
    </row>
    <row r="100" spans="1:6" x14ac:dyDescent="0.35">
      <c r="A100" t="s">
        <v>154</v>
      </c>
      <c r="B100" s="1">
        <v>43830</v>
      </c>
      <c r="C100" s="3">
        <v>31.54</v>
      </c>
      <c r="D100" s="1">
        <v>44196</v>
      </c>
      <c r="E100" s="3">
        <v>25.219999000000001</v>
      </c>
      <c r="F100" s="5">
        <v>-0.20038050095117299</v>
      </c>
    </row>
    <row r="101" spans="1:6" x14ac:dyDescent="0.35">
      <c r="A101" t="s">
        <v>16</v>
      </c>
      <c r="B101" s="1">
        <v>43830</v>
      </c>
      <c r="C101" s="3">
        <v>17.392499999999998</v>
      </c>
      <c r="D101" s="1">
        <v>44196</v>
      </c>
      <c r="E101" s="3">
        <v>18.932500999999998</v>
      </c>
      <c r="F101" s="5">
        <v>8.8543970102055405E-2</v>
      </c>
    </row>
    <row r="102" spans="1:6" x14ac:dyDescent="0.35">
      <c r="A102" t="s">
        <v>126</v>
      </c>
      <c r="B102" s="1">
        <v>44196</v>
      </c>
      <c r="C102" s="3">
        <v>5.79</v>
      </c>
      <c r="D102" s="1">
        <v>44561</v>
      </c>
      <c r="E102" s="3">
        <v>15.46</v>
      </c>
      <c r="F102" s="5">
        <v>1.6701208981001701</v>
      </c>
    </row>
    <row r="103" spans="1:6" x14ac:dyDescent="0.35">
      <c r="A103" t="s">
        <v>24</v>
      </c>
      <c r="B103" s="1">
        <v>44196</v>
      </c>
      <c r="C103" s="3">
        <v>34.940399999999997</v>
      </c>
      <c r="D103" s="1">
        <v>44561</v>
      </c>
      <c r="E103" s="3">
        <v>37.396178999999997</v>
      </c>
      <c r="F103" s="5">
        <v>7.0284799258165206E-2</v>
      </c>
    </row>
    <row r="104" spans="1:6" x14ac:dyDescent="0.35">
      <c r="A104" t="s">
        <v>29</v>
      </c>
      <c r="B104" s="1">
        <v>44196</v>
      </c>
      <c r="C104" s="3">
        <v>15.7</v>
      </c>
      <c r="D104" s="1">
        <v>44561</v>
      </c>
      <c r="E104" s="3">
        <v>12.74</v>
      </c>
      <c r="F104" s="5">
        <v>-0.18853503184713399</v>
      </c>
    </row>
    <row r="105" spans="1:6" x14ac:dyDescent="0.35">
      <c r="A105" t="s">
        <v>71</v>
      </c>
      <c r="B105" s="1">
        <v>44196</v>
      </c>
      <c r="C105" s="3">
        <v>25.479500000000002</v>
      </c>
      <c r="D105" s="1">
        <v>44561</v>
      </c>
      <c r="E105" s="3">
        <v>16.964348000000001</v>
      </c>
      <c r="F105" s="5">
        <v>-0.33419619694264002</v>
      </c>
    </row>
    <row r="106" spans="1:6" x14ac:dyDescent="0.35">
      <c r="A106" t="s">
        <v>50</v>
      </c>
      <c r="B106" s="1">
        <v>44196</v>
      </c>
      <c r="C106" s="3">
        <v>35</v>
      </c>
      <c r="D106" s="1">
        <v>44561</v>
      </c>
      <c r="E106" s="3">
        <v>28.799999</v>
      </c>
      <c r="F106" s="5">
        <v>-0.17714288571428599</v>
      </c>
    </row>
    <row r="107" spans="1:6" x14ac:dyDescent="0.35">
      <c r="A107" t="s">
        <v>31</v>
      </c>
      <c r="B107" s="1">
        <v>44196</v>
      </c>
      <c r="C107" s="3">
        <v>10.18</v>
      </c>
      <c r="D107" s="1">
        <v>44561</v>
      </c>
      <c r="E107" s="3">
        <v>10.55</v>
      </c>
      <c r="F107" s="5">
        <v>3.6345776031434303E-2</v>
      </c>
    </row>
    <row r="108" spans="1:6" x14ac:dyDescent="0.35">
      <c r="A108" t="s">
        <v>81</v>
      </c>
      <c r="B108" s="1">
        <v>44196</v>
      </c>
      <c r="C108" s="3">
        <v>11.343</v>
      </c>
      <c r="D108" s="1">
        <v>44561</v>
      </c>
      <c r="E108" s="3">
        <v>18.607437000000001</v>
      </c>
      <c r="F108" s="5">
        <v>0.64043348320550098</v>
      </c>
    </row>
    <row r="109" spans="1:6" x14ac:dyDescent="0.35">
      <c r="A109" t="s">
        <v>26</v>
      </c>
      <c r="B109" s="1">
        <v>44196</v>
      </c>
      <c r="C109" s="3">
        <v>5</v>
      </c>
      <c r="D109" s="1">
        <v>44561</v>
      </c>
      <c r="E109" s="3">
        <v>5</v>
      </c>
      <c r="F109" s="5">
        <v>0</v>
      </c>
    </row>
    <row r="110" spans="1:6" x14ac:dyDescent="0.35">
      <c r="A110" t="s">
        <v>161</v>
      </c>
      <c r="B110" s="1">
        <v>44196</v>
      </c>
      <c r="C110" s="3">
        <v>11.07</v>
      </c>
      <c r="D110" s="1">
        <v>44561</v>
      </c>
      <c r="E110" s="3">
        <v>11.44</v>
      </c>
      <c r="F110" s="5">
        <v>3.3423667570009002E-2</v>
      </c>
    </row>
    <row r="111" spans="1:6" x14ac:dyDescent="0.35">
      <c r="A111" t="s">
        <v>7</v>
      </c>
      <c r="B111" s="1">
        <v>44196</v>
      </c>
      <c r="C111" s="3">
        <v>75.41</v>
      </c>
      <c r="D111" s="1">
        <v>44561</v>
      </c>
      <c r="E111" s="3">
        <v>76</v>
      </c>
      <c r="F111" s="5">
        <v>7.8238960350087705E-3</v>
      </c>
    </row>
    <row r="112" spans="1:6" x14ac:dyDescent="0.35">
      <c r="A112" t="s">
        <v>25</v>
      </c>
      <c r="B112" s="1">
        <v>44196</v>
      </c>
      <c r="C112" s="3">
        <v>29.63</v>
      </c>
      <c r="D112" s="1">
        <v>44561</v>
      </c>
      <c r="E112" s="3">
        <v>20.879999000000002</v>
      </c>
      <c r="F112" s="5">
        <v>-0.29530884238947003</v>
      </c>
    </row>
    <row r="113" spans="1:6" x14ac:dyDescent="0.35">
      <c r="A113" t="s">
        <v>106</v>
      </c>
      <c r="B113" s="1">
        <v>44196</v>
      </c>
      <c r="C113" s="3">
        <v>17.333300000000001</v>
      </c>
      <c r="D113" s="1">
        <v>44561</v>
      </c>
      <c r="E113" s="3">
        <v>28</v>
      </c>
      <c r="F113" s="5">
        <v>0.615387721899465</v>
      </c>
    </row>
    <row r="114" spans="1:6" x14ac:dyDescent="0.35">
      <c r="A114" t="s">
        <v>144</v>
      </c>
      <c r="B114" s="1">
        <v>44196</v>
      </c>
      <c r="C114" s="3">
        <v>9.0500000000000007</v>
      </c>
      <c r="D114" s="1">
        <v>44561</v>
      </c>
      <c r="E114" s="3">
        <v>7.31</v>
      </c>
      <c r="F114" s="5">
        <v>-0.19226519337016601</v>
      </c>
    </row>
    <row r="115" spans="1:6" x14ac:dyDescent="0.35">
      <c r="A115" t="s">
        <v>19</v>
      </c>
      <c r="B115" s="1">
        <v>44196</v>
      </c>
      <c r="C115" s="3">
        <v>40.413200000000003</v>
      </c>
      <c r="D115" s="1">
        <v>44561</v>
      </c>
      <c r="E115" s="3">
        <v>85.289253000000002</v>
      </c>
      <c r="F115" s="5">
        <v>1.11043057713816</v>
      </c>
    </row>
    <row r="116" spans="1:6" x14ac:dyDescent="0.35">
      <c r="A116" t="s">
        <v>127</v>
      </c>
      <c r="B116" s="1">
        <v>44196</v>
      </c>
      <c r="C116" s="3">
        <v>22.130700000000001</v>
      </c>
      <c r="D116" s="1">
        <v>44561</v>
      </c>
      <c r="E116" s="3">
        <v>70.339995999999999</v>
      </c>
      <c r="F116" s="5">
        <v>2.1783900192944601</v>
      </c>
    </row>
    <row r="117" spans="1:6" x14ac:dyDescent="0.35">
      <c r="A117" t="s">
        <v>146</v>
      </c>
      <c r="B117" s="1">
        <v>44196</v>
      </c>
      <c r="C117" s="3">
        <v>8.16</v>
      </c>
      <c r="D117" s="1">
        <v>44561</v>
      </c>
      <c r="E117" s="3">
        <v>7.9</v>
      </c>
      <c r="F117" s="5">
        <v>-3.18627450980392E-2</v>
      </c>
    </row>
    <row r="118" spans="1:6" x14ac:dyDescent="0.35">
      <c r="A118" t="s">
        <v>42</v>
      </c>
      <c r="B118" s="1">
        <v>44196</v>
      </c>
      <c r="C118" s="3">
        <v>15.75</v>
      </c>
      <c r="D118" s="1">
        <v>44561</v>
      </c>
      <c r="E118" s="3">
        <v>11.85</v>
      </c>
      <c r="F118" s="5">
        <v>-0.24761904761904799</v>
      </c>
    </row>
    <row r="119" spans="1:6" x14ac:dyDescent="0.35">
      <c r="A119" t="s">
        <v>17</v>
      </c>
      <c r="B119" s="1">
        <v>44196</v>
      </c>
      <c r="C119" s="3">
        <v>23.1326</v>
      </c>
      <c r="D119" s="1">
        <v>44561</v>
      </c>
      <c r="E119" s="3">
        <v>22.583280999999999</v>
      </c>
      <c r="F119" s="5">
        <v>-2.37465308698547E-2</v>
      </c>
    </row>
    <row r="120" spans="1:6" x14ac:dyDescent="0.35">
      <c r="A120" t="s">
        <v>149</v>
      </c>
      <c r="B120" s="1">
        <v>44196</v>
      </c>
      <c r="C120" s="3">
        <v>5.0999999999999996</v>
      </c>
      <c r="D120" s="1">
        <v>44561</v>
      </c>
      <c r="E120" s="3">
        <v>7.42</v>
      </c>
      <c r="F120" s="5">
        <v>0.454901960784314</v>
      </c>
    </row>
    <row r="121" spans="1:6" x14ac:dyDescent="0.35">
      <c r="A121" t="s">
        <v>35</v>
      </c>
      <c r="B121" s="1">
        <v>44196</v>
      </c>
      <c r="C121" s="3">
        <v>28.6496</v>
      </c>
      <c r="D121" s="1">
        <v>44561</v>
      </c>
      <c r="E121" s="3">
        <v>28.610001</v>
      </c>
      <c r="F121" s="5">
        <v>-1.38218334636431E-3</v>
      </c>
    </row>
    <row r="122" spans="1:6" x14ac:dyDescent="0.35">
      <c r="A122" t="s">
        <v>4</v>
      </c>
      <c r="B122" s="1">
        <v>44561</v>
      </c>
      <c r="C122" s="3">
        <v>6.27</v>
      </c>
      <c r="D122" s="1">
        <v>44926</v>
      </c>
      <c r="E122" s="3">
        <v>6.25</v>
      </c>
      <c r="F122" s="5">
        <v>-3.1897926634768502E-3</v>
      </c>
    </row>
    <row r="123" spans="1:6" x14ac:dyDescent="0.35">
      <c r="A123" t="s">
        <v>91</v>
      </c>
      <c r="B123" s="1">
        <v>44561</v>
      </c>
      <c r="C123" s="3">
        <v>26.65</v>
      </c>
      <c r="D123" s="1">
        <v>44926</v>
      </c>
      <c r="E123" s="3">
        <v>33.200001</v>
      </c>
      <c r="F123" s="5">
        <v>0.24577864915572201</v>
      </c>
    </row>
    <row r="124" spans="1:6" x14ac:dyDescent="0.35">
      <c r="A124" t="s">
        <v>144</v>
      </c>
      <c r="B124" s="1">
        <v>44561</v>
      </c>
      <c r="C124" s="3">
        <v>7.31</v>
      </c>
      <c r="D124" s="1">
        <v>44926</v>
      </c>
      <c r="E124" s="3">
        <v>9.2899999999999991</v>
      </c>
      <c r="F124" s="5">
        <v>0.27086183310533501</v>
      </c>
    </row>
    <row r="125" spans="1:6" x14ac:dyDescent="0.35">
      <c r="A125" t="s">
        <v>151</v>
      </c>
      <c r="B125" s="1">
        <v>44561</v>
      </c>
      <c r="C125" s="3">
        <v>12.278</v>
      </c>
      <c r="D125" s="1">
        <v>44926</v>
      </c>
      <c r="E125" s="3">
        <v>8.26</v>
      </c>
      <c r="F125" s="5">
        <v>-0.32725199543899702</v>
      </c>
    </row>
    <row r="126" spans="1:6" x14ac:dyDescent="0.35">
      <c r="A126" t="s">
        <v>25</v>
      </c>
      <c r="B126" s="1">
        <v>44561</v>
      </c>
      <c r="C126" s="3">
        <v>20.88</v>
      </c>
      <c r="D126" s="1">
        <v>44926</v>
      </c>
      <c r="E126" s="3">
        <v>33.709999000000003</v>
      </c>
      <c r="F126" s="5">
        <v>0.61446355363984695</v>
      </c>
    </row>
    <row r="127" spans="1:6" x14ac:dyDescent="0.35">
      <c r="A127" t="s">
        <v>141</v>
      </c>
      <c r="B127" s="1">
        <v>44561</v>
      </c>
      <c r="C127" s="3">
        <v>4.83</v>
      </c>
      <c r="D127" s="1">
        <v>44926</v>
      </c>
      <c r="E127" s="3">
        <v>5.52</v>
      </c>
      <c r="F127" s="5">
        <v>0.14285714285714299</v>
      </c>
    </row>
    <row r="128" spans="1:6" x14ac:dyDescent="0.35">
      <c r="A128" t="s">
        <v>162</v>
      </c>
      <c r="B128" s="1">
        <v>44561</v>
      </c>
      <c r="C128" s="3">
        <v>6.98</v>
      </c>
      <c r="D128" s="1">
        <v>44926</v>
      </c>
      <c r="E128" s="3">
        <v>8.0500000000000007</v>
      </c>
      <c r="F128" s="5">
        <v>0.153295128939828</v>
      </c>
    </row>
    <row r="129" spans="1:6" x14ac:dyDescent="0.35">
      <c r="A129" t="s">
        <v>152</v>
      </c>
      <c r="B129" s="1">
        <v>44561</v>
      </c>
      <c r="C129" s="3">
        <v>10.11</v>
      </c>
      <c r="D129" s="1">
        <v>44926</v>
      </c>
      <c r="E129" s="3">
        <v>4.66</v>
      </c>
      <c r="F129" s="5">
        <v>-0.53907022749752698</v>
      </c>
    </row>
    <row r="130" spans="1:6" x14ac:dyDescent="0.35">
      <c r="A130" t="s">
        <v>21</v>
      </c>
      <c r="B130" s="1">
        <v>44561</v>
      </c>
      <c r="C130" s="3">
        <v>24.98</v>
      </c>
      <c r="D130" s="1">
        <v>44926</v>
      </c>
      <c r="E130" s="3">
        <v>29.719999000000001</v>
      </c>
      <c r="F130" s="5">
        <v>0.189751761409127</v>
      </c>
    </row>
    <row r="131" spans="1:6" x14ac:dyDescent="0.35">
      <c r="A131" t="s">
        <v>81</v>
      </c>
      <c r="B131" s="1">
        <v>44561</v>
      </c>
      <c r="C131" s="3">
        <v>18.607399999999998</v>
      </c>
      <c r="D131" s="1">
        <v>44926</v>
      </c>
      <c r="E131" s="3">
        <v>21.322727</v>
      </c>
      <c r="F131" s="5">
        <v>0.14592726549652299</v>
      </c>
    </row>
    <row r="132" spans="1:6" x14ac:dyDescent="0.35">
      <c r="A132" t="s">
        <v>147</v>
      </c>
      <c r="B132" s="1">
        <v>44561</v>
      </c>
      <c r="C132" s="3">
        <v>50.59</v>
      </c>
      <c r="D132" s="1">
        <v>44926</v>
      </c>
      <c r="E132" s="3">
        <v>31</v>
      </c>
      <c r="F132" s="5">
        <v>-0.38723067799960498</v>
      </c>
    </row>
    <row r="133" spans="1:6" x14ac:dyDescent="0.35">
      <c r="A133" t="s">
        <v>35</v>
      </c>
      <c r="B133" s="1">
        <v>44561</v>
      </c>
      <c r="C133" s="3">
        <v>28.61</v>
      </c>
      <c r="D133" s="1">
        <v>44926</v>
      </c>
      <c r="E133" s="3">
        <v>27.620000999999998</v>
      </c>
      <c r="F133" s="5">
        <v>-3.4603250611674199E-2</v>
      </c>
    </row>
    <row r="134" spans="1:6" x14ac:dyDescent="0.35">
      <c r="A134" t="s">
        <v>72</v>
      </c>
      <c r="B134" s="1">
        <v>44561</v>
      </c>
      <c r="C134" s="3">
        <v>7.7573999999999996</v>
      </c>
      <c r="D134" s="1">
        <v>44926</v>
      </c>
      <c r="E134" s="3">
        <v>8.5692299999999992</v>
      </c>
      <c r="F134" s="5">
        <v>0.104652331966896</v>
      </c>
    </row>
    <row r="135" spans="1:6" x14ac:dyDescent="0.35">
      <c r="A135" t="s">
        <v>57</v>
      </c>
      <c r="B135" s="1">
        <v>44561</v>
      </c>
      <c r="C135" s="3">
        <v>20.497499999999999</v>
      </c>
      <c r="D135" s="1">
        <v>44926</v>
      </c>
      <c r="E135" s="3">
        <v>20.497499000000001</v>
      </c>
      <c r="F135" s="5">
        <v>-4.8786437223391501E-8</v>
      </c>
    </row>
    <row r="136" spans="1:6" x14ac:dyDescent="0.35">
      <c r="A136" t="s">
        <v>53</v>
      </c>
      <c r="B136" s="1">
        <v>44561</v>
      </c>
      <c r="C136" s="3">
        <v>24.33</v>
      </c>
      <c r="D136" s="1">
        <v>44926</v>
      </c>
      <c r="E136" s="3">
        <v>11.01</v>
      </c>
      <c r="F136" s="5">
        <v>-0.54747225647348996</v>
      </c>
    </row>
    <row r="137" spans="1:6" x14ac:dyDescent="0.35">
      <c r="A137" t="s">
        <v>129</v>
      </c>
      <c r="B137" s="1">
        <v>44561</v>
      </c>
      <c r="C137" s="3">
        <v>21.436900000000001</v>
      </c>
      <c r="D137" s="1">
        <v>44926</v>
      </c>
      <c r="E137" s="3">
        <v>8.2799999999999994</v>
      </c>
      <c r="F137" s="5">
        <v>-0.61375012245240701</v>
      </c>
    </row>
    <row r="138" spans="1:6" x14ac:dyDescent="0.35">
      <c r="A138" t="s">
        <v>52</v>
      </c>
      <c r="B138" s="1">
        <v>44561</v>
      </c>
      <c r="C138" s="3">
        <v>12.13</v>
      </c>
      <c r="D138" s="1">
        <v>44926</v>
      </c>
      <c r="E138" s="3">
        <v>11.65</v>
      </c>
      <c r="F138" s="5">
        <v>-3.9571310799670197E-2</v>
      </c>
    </row>
    <row r="139" spans="1:6" x14ac:dyDescent="0.35">
      <c r="A139" t="s">
        <v>111</v>
      </c>
      <c r="B139" s="1">
        <v>44561</v>
      </c>
      <c r="C139" s="3">
        <v>7.6</v>
      </c>
      <c r="D139" s="1">
        <v>44926</v>
      </c>
      <c r="E139" s="3">
        <v>1.7</v>
      </c>
      <c r="F139" s="5">
        <v>-0.77631578947368396</v>
      </c>
    </row>
    <row r="140" spans="1:6" x14ac:dyDescent="0.35">
      <c r="A140" t="s">
        <v>44</v>
      </c>
      <c r="B140" s="1">
        <v>44561</v>
      </c>
      <c r="C140" s="3">
        <v>14.78</v>
      </c>
      <c r="D140" s="1">
        <v>44926</v>
      </c>
      <c r="E140" s="3">
        <v>21.6</v>
      </c>
      <c r="F140" s="5">
        <v>0.461434370771313</v>
      </c>
    </row>
    <row r="141" spans="1:6" x14ac:dyDescent="0.35">
      <c r="A141" t="s">
        <v>43</v>
      </c>
      <c r="B141" s="1">
        <v>44561</v>
      </c>
      <c r="C141" s="3">
        <v>21.11</v>
      </c>
      <c r="D141" s="1">
        <v>44926</v>
      </c>
      <c r="E141" s="3">
        <v>15.55</v>
      </c>
      <c r="F141" s="5">
        <v>-0.26338228327806701</v>
      </c>
    </row>
    <row r="142" spans="1:6" x14ac:dyDescent="0.35">
      <c r="A142" t="s">
        <v>4</v>
      </c>
      <c r="B142" s="1">
        <v>44926</v>
      </c>
      <c r="C142" s="3">
        <v>6.25</v>
      </c>
      <c r="D142" s="1">
        <v>45291</v>
      </c>
      <c r="E142" s="3">
        <v>8.5</v>
      </c>
      <c r="F142" s="5">
        <v>0.36</v>
      </c>
    </row>
    <row r="143" spans="1:6" x14ac:dyDescent="0.35">
      <c r="A143" t="s">
        <v>48</v>
      </c>
      <c r="B143" s="1">
        <v>44926</v>
      </c>
      <c r="C143" s="3">
        <v>22.43</v>
      </c>
      <c r="D143" s="1">
        <v>45291</v>
      </c>
      <c r="E143" s="3">
        <v>34.25</v>
      </c>
      <c r="F143" s="5">
        <v>0.52697280427998205</v>
      </c>
    </row>
    <row r="144" spans="1:6" x14ac:dyDescent="0.35">
      <c r="A144" t="s">
        <v>47</v>
      </c>
      <c r="B144" s="1">
        <v>44926</v>
      </c>
      <c r="C144" s="3">
        <v>46.28</v>
      </c>
      <c r="D144" s="1">
        <v>45291</v>
      </c>
      <c r="E144" s="3">
        <v>48.580002</v>
      </c>
      <c r="F144" s="5">
        <v>4.9697536732930002E-2</v>
      </c>
    </row>
    <row r="145" spans="1:6" x14ac:dyDescent="0.35">
      <c r="A145" t="s">
        <v>49</v>
      </c>
      <c r="B145" s="1">
        <v>44926</v>
      </c>
      <c r="C145" s="3">
        <v>5.15</v>
      </c>
      <c r="D145" s="1">
        <v>45291</v>
      </c>
      <c r="E145" s="3">
        <v>5.74</v>
      </c>
      <c r="F145" s="5">
        <v>0.114563106796116</v>
      </c>
    </row>
    <row r="146" spans="1:6" x14ac:dyDescent="0.35">
      <c r="A146" t="s">
        <v>144</v>
      </c>
      <c r="B146" s="1">
        <v>44926</v>
      </c>
      <c r="C146" s="3">
        <v>9.2899999999999991</v>
      </c>
      <c r="D146" s="1">
        <v>45291</v>
      </c>
      <c r="E146" s="3">
        <v>10.79</v>
      </c>
      <c r="F146" s="5">
        <v>0.16146393972012901</v>
      </c>
    </row>
    <row r="147" spans="1:6" x14ac:dyDescent="0.35">
      <c r="A147" t="s">
        <v>141</v>
      </c>
      <c r="B147" s="1">
        <v>44926</v>
      </c>
      <c r="C147" s="3">
        <v>5.52</v>
      </c>
      <c r="D147" s="1">
        <v>45291</v>
      </c>
      <c r="E147" s="3">
        <v>9.5299999999999994</v>
      </c>
      <c r="F147" s="5">
        <v>0.72644927536231896</v>
      </c>
    </row>
    <row r="148" spans="1:6" x14ac:dyDescent="0.35">
      <c r="A148" t="s">
        <v>26</v>
      </c>
      <c r="B148" s="1">
        <v>44926</v>
      </c>
      <c r="C148" s="3">
        <v>5</v>
      </c>
      <c r="D148" s="1">
        <v>45291</v>
      </c>
      <c r="E148" s="3">
        <v>5</v>
      </c>
      <c r="F148" s="5">
        <v>0</v>
      </c>
    </row>
    <row r="149" spans="1:6" x14ac:dyDescent="0.35">
      <c r="A149" t="s">
        <v>7</v>
      </c>
      <c r="B149" s="1">
        <v>44926</v>
      </c>
      <c r="C149" s="3">
        <v>67.989999999999995</v>
      </c>
      <c r="D149" s="1">
        <v>45291</v>
      </c>
      <c r="E149" s="3">
        <v>59</v>
      </c>
      <c r="F149" s="5">
        <v>-0.13222532725400801</v>
      </c>
    </row>
    <row r="150" spans="1:6" x14ac:dyDescent="0.35">
      <c r="A150" t="s">
        <v>154</v>
      </c>
      <c r="B150" s="1">
        <v>44926</v>
      </c>
      <c r="C150" s="3">
        <v>25.27</v>
      </c>
      <c r="D150" s="1">
        <v>45291</v>
      </c>
      <c r="E150" s="3">
        <v>21.690000999999999</v>
      </c>
      <c r="F150" s="5">
        <v>-0.14166992481203</v>
      </c>
    </row>
    <row r="151" spans="1:6" x14ac:dyDescent="0.35">
      <c r="A151" t="s">
        <v>53</v>
      </c>
      <c r="B151" s="1">
        <v>44926</v>
      </c>
      <c r="C151" s="3">
        <v>11.01</v>
      </c>
      <c r="D151" s="1">
        <v>45291</v>
      </c>
      <c r="E151" s="3">
        <v>16.010000000000002</v>
      </c>
      <c r="F151" s="5">
        <v>0.45413260672116301</v>
      </c>
    </row>
    <row r="152" spans="1:6" x14ac:dyDescent="0.35">
      <c r="A152" t="s">
        <v>50</v>
      </c>
      <c r="B152" s="1">
        <v>44926</v>
      </c>
      <c r="C152" s="3">
        <v>22.5</v>
      </c>
      <c r="D152" s="1">
        <v>45291</v>
      </c>
      <c r="E152" s="3">
        <v>21</v>
      </c>
      <c r="F152" s="5">
        <v>-6.6666666666666596E-2</v>
      </c>
    </row>
    <row r="153" spans="1:6" x14ac:dyDescent="0.35">
      <c r="A153" t="s">
        <v>151</v>
      </c>
      <c r="B153" s="1">
        <v>44926</v>
      </c>
      <c r="C153" s="3">
        <v>8.26</v>
      </c>
      <c r="D153" s="1">
        <v>45291</v>
      </c>
      <c r="E153" s="3">
        <v>20</v>
      </c>
      <c r="F153" s="5">
        <v>1.4213075060532701</v>
      </c>
    </row>
    <row r="154" spans="1:6" x14ac:dyDescent="0.35">
      <c r="A154" t="s">
        <v>31</v>
      </c>
      <c r="B154" s="1">
        <v>44926</v>
      </c>
      <c r="C154" s="3">
        <v>12.96</v>
      </c>
      <c r="D154" s="1">
        <v>45291</v>
      </c>
      <c r="E154" s="3">
        <v>7.47</v>
      </c>
      <c r="F154" s="5">
        <v>-0.42361111111111099</v>
      </c>
    </row>
    <row r="155" spans="1:6" x14ac:dyDescent="0.35">
      <c r="A155" t="s">
        <v>153</v>
      </c>
      <c r="B155" s="1">
        <v>44926</v>
      </c>
      <c r="C155" s="3">
        <v>6.89</v>
      </c>
      <c r="D155" s="1">
        <v>45291</v>
      </c>
      <c r="E155" s="3">
        <v>11.62</v>
      </c>
      <c r="F155" s="5">
        <v>0.68650217706821504</v>
      </c>
    </row>
    <row r="156" spans="1:6" x14ac:dyDescent="0.35">
      <c r="A156" t="s">
        <v>128</v>
      </c>
      <c r="B156" s="1">
        <v>44926</v>
      </c>
      <c r="C156" s="3">
        <v>8.2100000000000009</v>
      </c>
      <c r="D156" s="1">
        <v>45291</v>
      </c>
      <c r="E156" s="3">
        <v>12.8</v>
      </c>
      <c r="F156" s="5">
        <v>0.55907429963459199</v>
      </c>
    </row>
    <row r="157" spans="1:6" x14ac:dyDescent="0.35">
      <c r="A157" t="s">
        <v>16</v>
      </c>
      <c r="B157" s="1">
        <v>44926</v>
      </c>
      <c r="C157" s="3">
        <v>17.12</v>
      </c>
      <c r="D157" s="1">
        <v>45291</v>
      </c>
      <c r="E157" s="3">
        <v>19.360001</v>
      </c>
      <c r="F157" s="5">
        <v>0.13084117990654201</v>
      </c>
    </row>
    <row r="158" spans="1:6" x14ac:dyDescent="0.35">
      <c r="A158" t="s">
        <v>29</v>
      </c>
      <c r="B158" s="1">
        <v>44926</v>
      </c>
      <c r="C158" s="3">
        <v>10</v>
      </c>
      <c r="D158" s="1">
        <v>45291</v>
      </c>
      <c r="E158" s="3">
        <v>11.52</v>
      </c>
      <c r="F158" s="5">
        <v>0.152</v>
      </c>
    </row>
    <row r="159" spans="1:6" x14ac:dyDescent="0.35">
      <c r="A159" t="s">
        <v>10</v>
      </c>
      <c r="B159" s="1">
        <v>44926</v>
      </c>
      <c r="C159" s="3">
        <v>9.39</v>
      </c>
      <c r="D159" s="1">
        <v>45291</v>
      </c>
      <c r="E159" s="3">
        <v>6.96</v>
      </c>
      <c r="F159" s="5">
        <v>-0.25878594249201298</v>
      </c>
    </row>
    <row r="160" spans="1:6" x14ac:dyDescent="0.35">
      <c r="A160" t="s">
        <v>34</v>
      </c>
      <c r="B160" s="1">
        <v>44926</v>
      </c>
      <c r="C160" s="3">
        <v>45.2</v>
      </c>
      <c r="D160" s="1">
        <v>45291</v>
      </c>
      <c r="E160" s="3">
        <v>35.75</v>
      </c>
      <c r="F160" s="5">
        <v>-0.20907079646017701</v>
      </c>
    </row>
    <row r="161" spans="1:6" x14ac:dyDescent="0.35">
      <c r="A161" t="s">
        <v>37</v>
      </c>
      <c r="B161" s="1">
        <v>44926</v>
      </c>
      <c r="C161" s="3">
        <v>38.35</v>
      </c>
      <c r="D161" s="1">
        <v>45291</v>
      </c>
      <c r="E161" s="3">
        <v>53.439999</v>
      </c>
      <c r="F161" s="5">
        <v>0.39348106910039099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78E0C-6C7C-4285-9257-87951255D1C0}">
  <dimension ref="A1:F161"/>
  <sheetViews>
    <sheetView workbookViewId="0">
      <selection activeCell="G11" sqref="G11"/>
    </sheetView>
  </sheetViews>
  <sheetFormatPr defaultRowHeight="14.5" x14ac:dyDescent="0.35"/>
  <cols>
    <col min="1" max="1" width="8.90625" bestFit="1" customWidth="1"/>
    <col min="2" max="2" width="10.453125" bestFit="1" customWidth="1"/>
    <col min="3" max="3" width="14.08984375" bestFit="1" customWidth="1"/>
    <col min="4" max="4" width="10.453125" bestFit="1" customWidth="1"/>
    <col min="5" max="6" width="12.4531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54</v>
      </c>
      <c r="F1" t="s">
        <v>55</v>
      </c>
    </row>
    <row r="2" spans="1:6" x14ac:dyDescent="0.35">
      <c r="A2" t="s">
        <v>63</v>
      </c>
      <c r="B2" s="1">
        <v>42369</v>
      </c>
      <c r="C2">
        <v>1.8556999999999999</v>
      </c>
      <c r="D2" s="1">
        <v>42735</v>
      </c>
      <c r="E2">
        <v>3.6128719999999999</v>
      </c>
      <c r="F2" s="5">
        <v>0.94690521097160096</v>
      </c>
    </row>
    <row r="3" spans="1:6" x14ac:dyDescent="0.35">
      <c r="A3" t="s">
        <v>64</v>
      </c>
      <c r="B3" s="1">
        <v>42369</v>
      </c>
      <c r="C3">
        <v>4.0199999999999996</v>
      </c>
      <c r="D3" s="1">
        <v>42735</v>
      </c>
      <c r="E3">
        <v>8.26</v>
      </c>
      <c r="F3" s="5">
        <v>1.0547263681592001</v>
      </c>
    </row>
    <row r="4" spans="1:6" x14ac:dyDescent="0.35">
      <c r="A4" t="s">
        <v>38</v>
      </c>
      <c r="B4" s="1">
        <v>42369</v>
      </c>
      <c r="C4">
        <v>4</v>
      </c>
      <c r="D4" s="1">
        <v>42735</v>
      </c>
      <c r="E4">
        <v>10.85</v>
      </c>
      <c r="F4" s="5">
        <v>1.7124999999999999</v>
      </c>
    </row>
    <row r="5" spans="1:6" x14ac:dyDescent="0.35">
      <c r="A5" t="s">
        <v>66</v>
      </c>
      <c r="B5" s="1">
        <v>42369</v>
      </c>
      <c r="C5">
        <v>12.666700000000001</v>
      </c>
      <c r="D5" s="1">
        <v>42735</v>
      </c>
      <c r="E5">
        <v>19.793333000000001</v>
      </c>
      <c r="F5" s="5">
        <v>0.56262744045410396</v>
      </c>
    </row>
    <row r="6" spans="1:6" x14ac:dyDescent="0.35">
      <c r="A6" t="s">
        <v>9</v>
      </c>
      <c r="B6" s="1">
        <v>42369</v>
      </c>
      <c r="C6">
        <v>6.3140000000000001</v>
      </c>
      <c r="D6" s="1">
        <v>42735</v>
      </c>
      <c r="E6">
        <v>6.5725220000000002</v>
      </c>
      <c r="F6" s="5">
        <v>4.0944250871080203E-2</v>
      </c>
    </row>
    <row r="7" spans="1:6" x14ac:dyDescent="0.35">
      <c r="A7" t="s">
        <v>65</v>
      </c>
      <c r="B7" s="1">
        <v>42369</v>
      </c>
      <c r="C7">
        <v>5.83</v>
      </c>
      <c r="D7" s="1">
        <v>42735</v>
      </c>
      <c r="E7">
        <v>5.33</v>
      </c>
      <c r="F7" s="5">
        <v>-8.5763293310463201E-2</v>
      </c>
    </row>
    <row r="8" spans="1:6" x14ac:dyDescent="0.35">
      <c r="A8" t="s">
        <v>67</v>
      </c>
      <c r="B8" s="1">
        <v>42369</v>
      </c>
      <c r="C8">
        <v>213</v>
      </c>
      <c r="D8" s="1">
        <v>42735</v>
      </c>
      <c r="E8">
        <v>287.97000100000002</v>
      </c>
      <c r="F8" s="5">
        <v>0.35197183568075102</v>
      </c>
    </row>
    <row r="9" spans="1:6" x14ac:dyDescent="0.35">
      <c r="A9" t="s">
        <v>125</v>
      </c>
      <c r="B9" s="1">
        <v>42369</v>
      </c>
      <c r="C9">
        <v>15</v>
      </c>
      <c r="D9" s="1">
        <v>42735</v>
      </c>
      <c r="E9">
        <v>15</v>
      </c>
      <c r="F9" s="5">
        <v>0</v>
      </c>
    </row>
    <row r="10" spans="1:6" x14ac:dyDescent="0.35">
      <c r="A10" t="s">
        <v>26</v>
      </c>
      <c r="B10" s="1">
        <v>42369</v>
      </c>
      <c r="C10">
        <v>5</v>
      </c>
      <c r="D10" s="1">
        <v>42735</v>
      </c>
      <c r="E10">
        <v>5</v>
      </c>
      <c r="F10" s="5">
        <v>0</v>
      </c>
    </row>
    <row r="11" spans="1:6" x14ac:dyDescent="0.35">
      <c r="A11" t="s">
        <v>68</v>
      </c>
      <c r="B11" s="1">
        <v>42369</v>
      </c>
      <c r="C11">
        <v>5</v>
      </c>
      <c r="D11" s="1">
        <v>42735</v>
      </c>
      <c r="E11">
        <v>2.6</v>
      </c>
      <c r="F11" s="5">
        <v>-0.48</v>
      </c>
    </row>
    <row r="12" spans="1:6" x14ac:dyDescent="0.35">
      <c r="A12" t="s">
        <v>39</v>
      </c>
      <c r="B12" s="1">
        <v>42369</v>
      </c>
      <c r="C12">
        <v>2.7</v>
      </c>
      <c r="D12" s="1">
        <v>42735</v>
      </c>
      <c r="E12">
        <v>3</v>
      </c>
      <c r="F12" s="5">
        <v>0.11111111111111099</v>
      </c>
    </row>
    <row r="13" spans="1:6" x14ac:dyDescent="0.35">
      <c r="A13" t="s">
        <v>69</v>
      </c>
      <c r="B13" s="1">
        <v>42369</v>
      </c>
      <c r="C13">
        <v>360.00360000000001</v>
      </c>
      <c r="D13" s="1">
        <v>42735</v>
      </c>
      <c r="E13">
        <v>282.00280800000002</v>
      </c>
      <c r="F13" s="5">
        <v>-0.21666669999966701</v>
      </c>
    </row>
    <row r="14" spans="1:6" x14ac:dyDescent="0.35">
      <c r="A14" t="s">
        <v>70</v>
      </c>
      <c r="B14" s="1">
        <v>42369</v>
      </c>
      <c r="C14">
        <v>159.3819</v>
      </c>
      <c r="D14" s="1">
        <v>42735</v>
      </c>
      <c r="E14">
        <v>119.940567</v>
      </c>
      <c r="F14" s="5">
        <v>-0.24746431683898901</v>
      </c>
    </row>
    <row r="15" spans="1:6" x14ac:dyDescent="0.35">
      <c r="A15" t="s">
        <v>71</v>
      </c>
      <c r="B15" s="1">
        <v>42369</v>
      </c>
      <c r="C15">
        <v>7.5438999999999998</v>
      </c>
      <c r="D15" s="1">
        <v>42735</v>
      </c>
      <c r="E15">
        <v>16.808754</v>
      </c>
      <c r="F15" s="5">
        <v>1.22812524026034</v>
      </c>
    </row>
    <row r="16" spans="1:6" x14ac:dyDescent="0.35">
      <c r="A16" t="s">
        <v>17</v>
      </c>
      <c r="B16" s="1">
        <v>42369</v>
      </c>
      <c r="C16">
        <v>6.8399000000000001</v>
      </c>
      <c r="D16" s="1">
        <v>42735</v>
      </c>
      <c r="E16">
        <v>10.867143</v>
      </c>
      <c r="F16" s="5">
        <v>0.58878682436877705</v>
      </c>
    </row>
    <row r="17" spans="1:6" x14ac:dyDescent="0.35">
      <c r="A17" t="s">
        <v>74</v>
      </c>
      <c r="B17" s="1">
        <v>42369</v>
      </c>
      <c r="C17">
        <v>2.2279</v>
      </c>
      <c r="D17" s="1">
        <v>42735</v>
      </c>
      <c r="E17">
        <v>3.8721359999999998</v>
      </c>
      <c r="F17" s="5">
        <v>0.73802055747564999</v>
      </c>
    </row>
    <row r="18" spans="1:6" x14ac:dyDescent="0.35">
      <c r="A18" t="s">
        <v>86</v>
      </c>
      <c r="B18" s="1">
        <v>42369</v>
      </c>
      <c r="C18">
        <v>3.7073999999999998</v>
      </c>
      <c r="D18" s="1">
        <v>42735</v>
      </c>
      <c r="E18">
        <v>4.2146990000000004</v>
      </c>
      <c r="F18" s="5">
        <v>0.13683416949884</v>
      </c>
    </row>
    <row r="19" spans="1:6" x14ac:dyDescent="0.35">
      <c r="A19" t="s">
        <v>73</v>
      </c>
      <c r="B19" s="1">
        <v>42369</v>
      </c>
      <c r="C19">
        <v>1</v>
      </c>
      <c r="D19" s="1">
        <v>42735</v>
      </c>
      <c r="E19">
        <v>0.51</v>
      </c>
      <c r="F19" s="5">
        <v>-0.49</v>
      </c>
    </row>
    <row r="20" spans="1:6" x14ac:dyDescent="0.35">
      <c r="A20" t="s">
        <v>61</v>
      </c>
      <c r="B20" s="1">
        <v>42369</v>
      </c>
      <c r="C20">
        <v>137.01</v>
      </c>
      <c r="D20" s="1">
        <v>42735</v>
      </c>
      <c r="E20">
        <v>155</v>
      </c>
      <c r="F20" s="5">
        <v>0.13130428435880601</v>
      </c>
    </row>
    <row r="21" spans="1:6" x14ac:dyDescent="0.35">
      <c r="A21" t="s">
        <v>87</v>
      </c>
      <c r="B21" s="1">
        <v>42369</v>
      </c>
      <c r="C21">
        <v>1.7649999999999999</v>
      </c>
      <c r="D21" s="1">
        <v>42735</v>
      </c>
      <c r="E21">
        <v>1.94</v>
      </c>
      <c r="F21" s="5">
        <v>9.9150141643059603E-2</v>
      </c>
    </row>
    <row r="22" spans="1:6" x14ac:dyDescent="0.35">
      <c r="A22" t="s">
        <v>47</v>
      </c>
      <c r="B22" s="1">
        <v>42735</v>
      </c>
      <c r="C22">
        <v>10.119999999999999</v>
      </c>
      <c r="D22" s="1">
        <v>43100</v>
      </c>
      <c r="E22">
        <v>16.149999999999999</v>
      </c>
      <c r="F22" s="5">
        <v>0.59584980237154195</v>
      </c>
    </row>
    <row r="23" spans="1:6" x14ac:dyDescent="0.35">
      <c r="A23" t="s">
        <v>31</v>
      </c>
      <c r="B23" s="1">
        <v>42735</v>
      </c>
      <c r="C23">
        <v>11.946999999999999</v>
      </c>
      <c r="D23" s="1">
        <v>43100</v>
      </c>
      <c r="E23">
        <v>10.472089</v>
      </c>
      <c r="F23" s="5">
        <v>-0.123454507407717</v>
      </c>
    </row>
    <row r="24" spans="1:6" x14ac:dyDescent="0.35">
      <c r="A24" t="s">
        <v>38</v>
      </c>
      <c r="B24" s="1">
        <v>42735</v>
      </c>
      <c r="C24">
        <v>10.85</v>
      </c>
      <c r="D24" s="1">
        <v>43100</v>
      </c>
      <c r="E24">
        <v>8.3800000000000008</v>
      </c>
      <c r="F24" s="5">
        <v>-0.22764976958525299</v>
      </c>
    </row>
    <row r="25" spans="1:6" x14ac:dyDescent="0.35">
      <c r="A25" t="s">
        <v>75</v>
      </c>
      <c r="B25" s="1">
        <v>42735</v>
      </c>
      <c r="C25">
        <v>13.45</v>
      </c>
      <c r="D25" s="1">
        <v>43100</v>
      </c>
      <c r="E25">
        <v>18.165001</v>
      </c>
      <c r="F25" s="5">
        <v>0.35055769516728602</v>
      </c>
    </row>
    <row r="26" spans="1:6" x14ac:dyDescent="0.35">
      <c r="A26" t="s">
        <v>73</v>
      </c>
      <c r="B26" s="1">
        <v>42735</v>
      </c>
      <c r="C26">
        <v>0.51</v>
      </c>
      <c r="D26" s="1">
        <v>43100</v>
      </c>
      <c r="E26">
        <v>2.0099999999999998</v>
      </c>
      <c r="F26" s="5">
        <v>2.9411764705882302</v>
      </c>
    </row>
    <row r="27" spans="1:6" x14ac:dyDescent="0.35">
      <c r="A27" t="s">
        <v>10</v>
      </c>
      <c r="B27" s="1">
        <v>42735</v>
      </c>
      <c r="C27">
        <v>2.79</v>
      </c>
      <c r="D27" s="1">
        <v>43100</v>
      </c>
      <c r="E27">
        <v>3.11</v>
      </c>
      <c r="F27" s="5">
        <v>0.114695340501792</v>
      </c>
    </row>
    <row r="28" spans="1:6" x14ac:dyDescent="0.35">
      <c r="A28" t="s">
        <v>66</v>
      </c>
      <c r="B28" s="1">
        <v>42735</v>
      </c>
      <c r="C28">
        <v>19.793299999999999</v>
      </c>
      <c r="D28" s="1">
        <v>43100</v>
      </c>
      <c r="E28">
        <v>23.633333</v>
      </c>
      <c r="F28" s="5">
        <v>0.19400670934104</v>
      </c>
    </row>
    <row r="29" spans="1:6" x14ac:dyDescent="0.35">
      <c r="A29" t="s">
        <v>76</v>
      </c>
      <c r="B29" s="1">
        <v>42735</v>
      </c>
      <c r="C29">
        <v>10.27</v>
      </c>
      <c r="D29" s="1">
        <v>43100</v>
      </c>
      <c r="E29">
        <v>13.22</v>
      </c>
      <c r="F29" s="5">
        <v>0.28724440116845201</v>
      </c>
    </row>
    <row r="30" spans="1:6" x14ac:dyDescent="0.35">
      <c r="A30" t="s">
        <v>77</v>
      </c>
      <c r="B30" s="1">
        <v>42735</v>
      </c>
      <c r="C30">
        <v>5.45</v>
      </c>
      <c r="D30" s="1">
        <v>43100</v>
      </c>
      <c r="E30">
        <v>6.15</v>
      </c>
      <c r="F30" s="5">
        <v>0.12844036697247699</v>
      </c>
    </row>
    <row r="31" spans="1:6" x14ac:dyDescent="0.35">
      <c r="A31" t="s">
        <v>78</v>
      </c>
      <c r="B31" s="1">
        <v>42735</v>
      </c>
      <c r="C31">
        <v>21.460599999999999</v>
      </c>
      <c r="D31" s="1">
        <v>43100</v>
      </c>
      <c r="E31">
        <v>20.6</v>
      </c>
      <c r="F31" s="5">
        <v>-4.0101395114768401E-2</v>
      </c>
    </row>
    <row r="32" spans="1:6" x14ac:dyDescent="0.35">
      <c r="A32" t="s">
        <v>67</v>
      </c>
      <c r="B32" s="1">
        <v>42735</v>
      </c>
      <c r="C32">
        <v>287.97000000000003</v>
      </c>
      <c r="D32" s="1">
        <v>43100</v>
      </c>
      <c r="E32">
        <v>344.89999399999999</v>
      </c>
      <c r="F32" s="5">
        <v>0.197694183421884</v>
      </c>
    </row>
    <row r="33" spans="1:6" x14ac:dyDescent="0.35">
      <c r="A33" t="s">
        <v>136</v>
      </c>
      <c r="B33" s="1">
        <v>42735</v>
      </c>
      <c r="C33">
        <v>143.63890000000001</v>
      </c>
      <c r="D33" s="1">
        <v>43100</v>
      </c>
      <c r="E33">
        <v>205.55834999999999</v>
      </c>
      <c r="F33" s="5">
        <v>0.43107716642218802</v>
      </c>
    </row>
    <row r="34" spans="1:6" x14ac:dyDescent="0.35">
      <c r="A34" t="s">
        <v>26</v>
      </c>
      <c r="B34" s="1">
        <v>42735</v>
      </c>
      <c r="C34">
        <v>5</v>
      </c>
      <c r="D34" s="1">
        <v>43100</v>
      </c>
      <c r="E34">
        <v>5</v>
      </c>
      <c r="F34" s="5">
        <v>0</v>
      </c>
    </row>
    <row r="35" spans="1:6" x14ac:dyDescent="0.35">
      <c r="A35" t="s">
        <v>79</v>
      </c>
      <c r="B35" s="1">
        <v>42735</v>
      </c>
      <c r="C35">
        <v>28</v>
      </c>
      <c r="D35" s="1">
        <v>43100</v>
      </c>
      <c r="E35">
        <v>28.408000999999999</v>
      </c>
      <c r="F35" s="5">
        <v>1.45714642857142E-2</v>
      </c>
    </row>
    <row r="36" spans="1:6" x14ac:dyDescent="0.35">
      <c r="A36" t="s">
        <v>51</v>
      </c>
      <c r="B36" s="1">
        <v>42735</v>
      </c>
      <c r="C36">
        <v>20.010000000000002</v>
      </c>
      <c r="D36" s="1">
        <v>43100</v>
      </c>
      <c r="E36">
        <v>18.690000999999999</v>
      </c>
      <c r="F36" s="5">
        <v>-6.5966966516741707E-2</v>
      </c>
    </row>
    <row r="37" spans="1:6" x14ac:dyDescent="0.35">
      <c r="A37" t="s">
        <v>80</v>
      </c>
      <c r="B37" s="1">
        <v>42735</v>
      </c>
      <c r="C37">
        <v>20</v>
      </c>
      <c r="D37" s="1">
        <v>43100</v>
      </c>
      <c r="E37">
        <v>25.1</v>
      </c>
      <c r="F37" s="5">
        <v>0.255</v>
      </c>
    </row>
    <row r="38" spans="1:6" x14ac:dyDescent="0.35">
      <c r="A38" t="s">
        <v>17</v>
      </c>
      <c r="B38" s="1">
        <v>42735</v>
      </c>
      <c r="C38">
        <v>10.867100000000001</v>
      </c>
      <c r="D38" s="1">
        <v>43100</v>
      </c>
      <c r="E38">
        <v>13.114483999999999</v>
      </c>
      <c r="F38" s="5">
        <v>0.206806231653339</v>
      </c>
    </row>
    <row r="39" spans="1:6" x14ac:dyDescent="0.35">
      <c r="A39" t="s">
        <v>88</v>
      </c>
      <c r="B39" s="1">
        <v>42735</v>
      </c>
      <c r="C39">
        <v>30.01</v>
      </c>
      <c r="D39" s="1">
        <v>43100</v>
      </c>
      <c r="E39">
        <v>35</v>
      </c>
      <c r="F39" s="5">
        <v>0.166277907364212</v>
      </c>
    </row>
    <row r="40" spans="1:6" x14ac:dyDescent="0.35">
      <c r="A40" t="s">
        <v>28</v>
      </c>
      <c r="B40" s="1">
        <v>42735</v>
      </c>
      <c r="C40">
        <v>11.4</v>
      </c>
      <c r="D40" s="1">
        <v>43100</v>
      </c>
      <c r="E40">
        <v>9.81</v>
      </c>
      <c r="F40" s="5">
        <v>-0.139473684210526</v>
      </c>
    </row>
    <row r="41" spans="1:6" x14ac:dyDescent="0.35">
      <c r="A41" t="s">
        <v>13</v>
      </c>
      <c r="B41" s="1">
        <v>42735</v>
      </c>
      <c r="C41">
        <v>11.454499999999999</v>
      </c>
      <c r="D41" s="1">
        <v>43100</v>
      </c>
      <c r="E41">
        <v>14.463635999999999</v>
      </c>
      <c r="F41" s="5">
        <v>0.26270339168012602</v>
      </c>
    </row>
    <row r="42" spans="1:6" x14ac:dyDescent="0.35">
      <c r="A42" t="s">
        <v>11</v>
      </c>
      <c r="B42" s="1">
        <v>43100</v>
      </c>
      <c r="C42">
        <v>15.91</v>
      </c>
      <c r="D42" s="1">
        <v>43465</v>
      </c>
      <c r="E42">
        <v>23.245000999999998</v>
      </c>
      <c r="F42" s="5">
        <v>0.46103086109365199</v>
      </c>
    </row>
    <row r="43" spans="1:6" x14ac:dyDescent="0.35">
      <c r="A43" t="s">
        <v>15</v>
      </c>
      <c r="B43" s="1">
        <v>43100</v>
      </c>
      <c r="C43">
        <v>19.2667</v>
      </c>
      <c r="D43" s="1">
        <v>43465</v>
      </c>
      <c r="E43">
        <v>24.198596999999999</v>
      </c>
      <c r="F43" s="5">
        <v>0.25598037027617598</v>
      </c>
    </row>
    <row r="44" spans="1:6" x14ac:dyDescent="0.35">
      <c r="A44" t="s">
        <v>27</v>
      </c>
      <c r="B44" s="1">
        <v>43100</v>
      </c>
      <c r="C44">
        <v>3.5</v>
      </c>
      <c r="D44" s="1">
        <v>43465</v>
      </c>
      <c r="E44">
        <v>2.21</v>
      </c>
      <c r="F44" s="5">
        <v>-0.36857142857142899</v>
      </c>
    </row>
    <row r="45" spans="1:6" x14ac:dyDescent="0.35">
      <c r="A45" t="s">
        <v>47</v>
      </c>
      <c r="B45" s="1">
        <v>43100</v>
      </c>
      <c r="C45">
        <v>16.149999999999999</v>
      </c>
      <c r="D45" s="1">
        <v>43465</v>
      </c>
      <c r="E45">
        <v>14.81</v>
      </c>
      <c r="F45" s="5">
        <v>-8.2972136222910095E-2</v>
      </c>
    </row>
    <row r="46" spans="1:6" x14ac:dyDescent="0.35">
      <c r="A46" t="s">
        <v>24</v>
      </c>
      <c r="B46" s="1">
        <v>43100</v>
      </c>
      <c r="C46">
        <v>28.531300000000002</v>
      </c>
      <c r="D46" s="1">
        <v>43465</v>
      </c>
      <c r="E46">
        <v>23.559792999999999</v>
      </c>
      <c r="F46" s="5">
        <v>-0.174247475579451</v>
      </c>
    </row>
    <row r="47" spans="1:6" x14ac:dyDescent="0.35">
      <c r="A47" t="s">
        <v>4</v>
      </c>
      <c r="B47" s="1">
        <v>43100</v>
      </c>
      <c r="C47">
        <v>3.5</v>
      </c>
      <c r="D47" s="1">
        <v>43465</v>
      </c>
      <c r="E47">
        <v>3.15</v>
      </c>
      <c r="F47" s="5">
        <v>-0.1</v>
      </c>
    </row>
    <row r="48" spans="1:6" x14ac:dyDescent="0.35">
      <c r="A48" t="s">
        <v>81</v>
      </c>
      <c r="B48" s="1">
        <v>43100</v>
      </c>
      <c r="C48">
        <v>5.5103</v>
      </c>
      <c r="D48" s="1">
        <v>43465</v>
      </c>
      <c r="E48">
        <v>8.6487599999999993</v>
      </c>
      <c r="F48" s="5">
        <v>0.56956245576465903</v>
      </c>
    </row>
    <row r="49" spans="1:6" x14ac:dyDescent="0.35">
      <c r="A49" t="s">
        <v>31</v>
      </c>
      <c r="B49" s="1">
        <v>43100</v>
      </c>
      <c r="C49">
        <v>10.472099999999999</v>
      </c>
      <c r="D49" s="1">
        <v>43465</v>
      </c>
      <c r="E49">
        <v>4.9066409999999996</v>
      </c>
      <c r="F49" s="5">
        <v>-0.53145586845045401</v>
      </c>
    </row>
    <row r="50" spans="1:6" x14ac:dyDescent="0.35">
      <c r="A50" t="s">
        <v>50</v>
      </c>
      <c r="B50" s="1">
        <v>43100</v>
      </c>
      <c r="C50">
        <v>25</v>
      </c>
      <c r="D50" s="1">
        <v>43465</v>
      </c>
      <c r="E50">
        <v>23</v>
      </c>
      <c r="F50" s="5">
        <v>-0.08</v>
      </c>
    </row>
    <row r="51" spans="1:6" x14ac:dyDescent="0.35">
      <c r="A51" t="s">
        <v>61</v>
      </c>
      <c r="B51" s="1">
        <v>43100</v>
      </c>
      <c r="C51">
        <v>149.38999999999999</v>
      </c>
      <c r="D51" s="1">
        <v>43465</v>
      </c>
      <c r="E51">
        <v>166.5</v>
      </c>
      <c r="F51" s="5">
        <v>0.114532431889685</v>
      </c>
    </row>
    <row r="52" spans="1:6" x14ac:dyDescent="0.35">
      <c r="A52" t="s">
        <v>84</v>
      </c>
      <c r="B52" s="1">
        <v>43100</v>
      </c>
      <c r="C52">
        <v>5.79</v>
      </c>
      <c r="D52" s="1">
        <v>43465</v>
      </c>
      <c r="E52">
        <v>6.94</v>
      </c>
      <c r="F52" s="5">
        <v>0.198618307426598</v>
      </c>
    </row>
    <row r="53" spans="1:6" x14ac:dyDescent="0.35">
      <c r="A53" t="s">
        <v>85</v>
      </c>
      <c r="B53" s="1">
        <v>43100</v>
      </c>
      <c r="C53">
        <v>47</v>
      </c>
      <c r="D53" s="1">
        <v>43465</v>
      </c>
      <c r="E53">
        <v>48</v>
      </c>
      <c r="F53" s="5">
        <v>2.1276595744680799E-2</v>
      </c>
    </row>
    <row r="54" spans="1:6" x14ac:dyDescent="0.35">
      <c r="A54" t="s">
        <v>21</v>
      </c>
      <c r="B54" s="1">
        <v>43100</v>
      </c>
      <c r="C54">
        <v>13.239599999999999</v>
      </c>
      <c r="D54" s="1">
        <v>43465</v>
      </c>
      <c r="E54">
        <v>14.608736</v>
      </c>
      <c r="F54" s="5">
        <v>0.10341218767938599</v>
      </c>
    </row>
    <row r="55" spans="1:6" x14ac:dyDescent="0.35">
      <c r="A55" t="s">
        <v>22</v>
      </c>
      <c r="B55" s="1">
        <v>43100</v>
      </c>
      <c r="C55">
        <v>17.277200000000001</v>
      </c>
      <c r="D55" s="1">
        <v>43465</v>
      </c>
      <c r="E55">
        <v>12.255297000000001</v>
      </c>
      <c r="F55" s="5">
        <v>-0.29066648531012002</v>
      </c>
    </row>
    <row r="56" spans="1:6" x14ac:dyDescent="0.35">
      <c r="A56" t="s">
        <v>18</v>
      </c>
      <c r="B56" s="1">
        <v>43100</v>
      </c>
      <c r="C56">
        <v>24</v>
      </c>
      <c r="D56" s="1">
        <v>43465</v>
      </c>
      <c r="E56">
        <v>33.700001</v>
      </c>
      <c r="F56" s="5">
        <v>0.40416670833333301</v>
      </c>
    </row>
    <row r="57" spans="1:6" x14ac:dyDescent="0.35">
      <c r="A57" t="s">
        <v>29</v>
      </c>
      <c r="B57" s="1">
        <v>43100</v>
      </c>
      <c r="C57">
        <v>8.8000000000000007</v>
      </c>
      <c r="D57" s="1">
        <v>43465</v>
      </c>
      <c r="E57">
        <v>13.97</v>
      </c>
      <c r="F57" s="5">
        <v>0.58750000000000002</v>
      </c>
    </row>
    <row r="58" spans="1:6" x14ac:dyDescent="0.35">
      <c r="A58" t="s">
        <v>10</v>
      </c>
      <c r="B58" s="1">
        <v>43100</v>
      </c>
      <c r="C58">
        <v>3.11</v>
      </c>
      <c r="D58" s="1">
        <v>43465</v>
      </c>
      <c r="E58">
        <v>2.2400000000000002</v>
      </c>
      <c r="F58" s="5">
        <v>-0.27974276527331199</v>
      </c>
    </row>
    <row r="59" spans="1:6" x14ac:dyDescent="0.35">
      <c r="A59" t="s">
        <v>7</v>
      </c>
      <c r="B59" s="1">
        <v>43100</v>
      </c>
      <c r="C59">
        <v>9.1</v>
      </c>
      <c r="D59" s="1">
        <v>43465</v>
      </c>
      <c r="E59">
        <v>18.27</v>
      </c>
      <c r="F59" s="5">
        <v>1.0076923076923101</v>
      </c>
    </row>
    <row r="60" spans="1:6" x14ac:dyDescent="0.35">
      <c r="A60" t="s">
        <v>17</v>
      </c>
      <c r="B60" s="1">
        <v>43100</v>
      </c>
      <c r="C60">
        <v>13.1145</v>
      </c>
      <c r="D60" s="1">
        <v>43465</v>
      </c>
      <c r="E60">
        <v>14.894378</v>
      </c>
      <c r="F60" s="5">
        <v>0.13571832704258599</v>
      </c>
    </row>
    <row r="61" spans="1:6" x14ac:dyDescent="0.35">
      <c r="A61" t="s">
        <v>82</v>
      </c>
      <c r="B61" s="1">
        <v>43100</v>
      </c>
      <c r="C61">
        <v>38.29</v>
      </c>
      <c r="D61" s="1">
        <v>43465</v>
      </c>
      <c r="E61">
        <v>32.5</v>
      </c>
      <c r="F61" s="5">
        <v>-0.151214416296683</v>
      </c>
    </row>
    <row r="62" spans="1:6" x14ac:dyDescent="0.35">
      <c r="A62" t="s">
        <v>4</v>
      </c>
      <c r="B62" s="1">
        <v>43465</v>
      </c>
      <c r="C62">
        <v>3.15</v>
      </c>
      <c r="D62" s="1">
        <v>43830</v>
      </c>
      <c r="E62">
        <v>4.95</v>
      </c>
      <c r="F62" s="5">
        <v>0.57142857142857195</v>
      </c>
    </row>
    <row r="63" spans="1:6" x14ac:dyDescent="0.35">
      <c r="A63" t="s">
        <v>5</v>
      </c>
      <c r="B63" s="1">
        <v>43465</v>
      </c>
      <c r="C63">
        <v>9.2644000000000002</v>
      </c>
      <c r="D63" s="1">
        <v>43830</v>
      </c>
      <c r="E63">
        <v>16.099194000000001</v>
      </c>
      <c r="F63" s="5">
        <v>0.73774815422477402</v>
      </c>
    </row>
    <row r="64" spans="1:6" x14ac:dyDescent="0.35">
      <c r="A64" t="s">
        <v>6</v>
      </c>
      <c r="B64" s="1">
        <v>43465</v>
      </c>
      <c r="C64">
        <v>11.2</v>
      </c>
      <c r="D64" s="1">
        <v>43830</v>
      </c>
      <c r="E64">
        <v>18.98</v>
      </c>
      <c r="F64" s="5">
        <v>0.69464285714285701</v>
      </c>
    </row>
    <row r="65" spans="1:6" x14ac:dyDescent="0.35">
      <c r="A65" t="s">
        <v>7</v>
      </c>
      <c r="B65" s="1">
        <v>43465</v>
      </c>
      <c r="C65">
        <v>18.27</v>
      </c>
      <c r="D65" s="1">
        <v>43830</v>
      </c>
      <c r="E65">
        <v>36.93</v>
      </c>
      <c r="F65" s="5">
        <v>1.02134646962233</v>
      </c>
    </row>
    <row r="66" spans="1:6" x14ac:dyDescent="0.35">
      <c r="A66" t="s">
        <v>9</v>
      </c>
      <c r="B66" s="1">
        <v>43465</v>
      </c>
      <c r="C66">
        <v>5.4290000000000003</v>
      </c>
      <c r="D66" s="1">
        <v>43830</v>
      </c>
      <c r="E66">
        <v>9.9035290000000007</v>
      </c>
      <c r="F66" s="5">
        <v>0.82419027445201698</v>
      </c>
    </row>
    <row r="67" spans="1:6" x14ac:dyDescent="0.35">
      <c r="A67" t="s">
        <v>8</v>
      </c>
      <c r="B67" s="1">
        <v>43465</v>
      </c>
      <c r="C67">
        <v>21.68</v>
      </c>
      <c r="D67" s="1">
        <v>43830</v>
      </c>
      <c r="E67">
        <v>19.73</v>
      </c>
      <c r="F67" s="5">
        <v>-8.9944649446494399E-2</v>
      </c>
    </row>
    <row r="68" spans="1:6" x14ac:dyDescent="0.35">
      <c r="A68" t="s">
        <v>27</v>
      </c>
      <c r="B68" s="1">
        <v>43465</v>
      </c>
      <c r="C68">
        <v>2.21</v>
      </c>
      <c r="D68" s="1">
        <v>43830</v>
      </c>
      <c r="E68">
        <v>4.2</v>
      </c>
      <c r="F68" s="5">
        <v>0.90045248868778305</v>
      </c>
    </row>
    <row r="69" spans="1:6" x14ac:dyDescent="0.35">
      <c r="A69" t="s">
        <v>10</v>
      </c>
      <c r="B69" s="1">
        <v>43465</v>
      </c>
      <c r="C69">
        <v>2.2400000000000002</v>
      </c>
      <c r="D69" s="1">
        <v>43830</v>
      </c>
      <c r="E69">
        <v>10.19</v>
      </c>
      <c r="F69" s="5">
        <v>3.5491071428571401</v>
      </c>
    </row>
    <row r="70" spans="1:6" x14ac:dyDescent="0.35">
      <c r="A70" t="s">
        <v>12</v>
      </c>
      <c r="B70" s="1">
        <v>43465</v>
      </c>
      <c r="C70">
        <v>15.38</v>
      </c>
      <c r="D70" s="1">
        <v>43830</v>
      </c>
      <c r="E70">
        <v>18.670000000000002</v>
      </c>
      <c r="F70" s="5">
        <v>0.21391417425227599</v>
      </c>
    </row>
    <row r="71" spans="1:6" x14ac:dyDescent="0.35">
      <c r="A71" t="s">
        <v>89</v>
      </c>
      <c r="B71" s="1">
        <v>43465</v>
      </c>
      <c r="C71">
        <v>15.61</v>
      </c>
      <c r="D71" s="1">
        <v>43830</v>
      </c>
      <c r="E71">
        <v>19.02</v>
      </c>
      <c r="F71" s="5">
        <v>0.218449711723254</v>
      </c>
    </row>
    <row r="72" spans="1:6" x14ac:dyDescent="0.35">
      <c r="A72" t="s">
        <v>14</v>
      </c>
      <c r="B72" s="1">
        <v>43465</v>
      </c>
      <c r="C72">
        <v>7.01</v>
      </c>
      <c r="D72" s="1">
        <v>43830</v>
      </c>
      <c r="E72">
        <v>14.12</v>
      </c>
      <c r="F72" s="5">
        <v>1.0142653352353801</v>
      </c>
    </row>
    <row r="73" spans="1:6" x14ac:dyDescent="0.35">
      <c r="A73" t="s">
        <v>11</v>
      </c>
      <c r="B73" s="1">
        <v>43465</v>
      </c>
      <c r="C73">
        <v>23.245000000000001</v>
      </c>
      <c r="D73" s="1">
        <v>43830</v>
      </c>
      <c r="E73">
        <v>26.41</v>
      </c>
      <c r="F73" s="5">
        <v>0.136158313615831</v>
      </c>
    </row>
    <row r="74" spans="1:6" x14ac:dyDescent="0.35">
      <c r="A74" t="s">
        <v>45</v>
      </c>
      <c r="B74" s="1">
        <v>43465</v>
      </c>
      <c r="C74">
        <v>8.89</v>
      </c>
      <c r="D74" s="1">
        <v>43830</v>
      </c>
      <c r="E74">
        <v>8.3699999999999992</v>
      </c>
      <c r="F74" s="5">
        <v>-5.8492688413948397E-2</v>
      </c>
    </row>
    <row r="75" spans="1:6" x14ac:dyDescent="0.35">
      <c r="A75" t="s">
        <v>13</v>
      </c>
      <c r="B75" s="1">
        <v>43465</v>
      </c>
      <c r="C75">
        <v>12.5</v>
      </c>
      <c r="D75" s="1">
        <v>43830</v>
      </c>
      <c r="E75">
        <v>15.336363</v>
      </c>
      <c r="F75" s="5">
        <v>0.22690904000000001</v>
      </c>
    </row>
    <row r="76" spans="1:6" x14ac:dyDescent="0.35">
      <c r="A76" t="s">
        <v>16</v>
      </c>
      <c r="B76" s="1">
        <v>43465</v>
      </c>
      <c r="C76">
        <v>8.3650000000000002</v>
      </c>
      <c r="D76" s="1">
        <v>43830</v>
      </c>
      <c r="E76">
        <v>17.392499999999998</v>
      </c>
      <c r="F76" s="5">
        <v>1.0791990436341901</v>
      </c>
    </row>
    <row r="77" spans="1:6" x14ac:dyDescent="0.35">
      <c r="A77" t="s">
        <v>82</v>
      </c>
      <c r="B77" s="1">
        <v>43465</v>
      </c>
      <c r="C77">
        <v>32.5</v>
      </c>
      <c r="D77" s="1">
        <v>43830</v>
      </c>
      <c r="E77">
        <v>46.990001999999997</v>
      </c>
      <c r="F77" s="5">
        <v>0.445846215384615</v>
      </c>
    </row>
    <row r="78" spans="1:6" x14ac:dyDescent="0.35">
      <c r="A78" t="s">
        <v>17</v>
      </c>
      <c r="B78" s="1">
        <v>43465</v>
      </c>
      <c r="C78">
        <v>14.894399999999999</v>
      </c>
      <c r="D78" s="1">
        <v>43830</v>
      </c>
      <c r="E78">
        <v>22.763069000000002</v>
      </c>
      <c r="F78" s="5">
        <v>0.52829714523579296</v>
      </c>
    </row>
    <row r="79" spans="1:6" x14ac:dyDescent="0.35">
      <c r="A79" t="s">
        <v>18</v>
      </c>
      <c r="B79" s="1">
        <v>43465</v>
      </c>
      <c r="C79">
        <v>33.700000000000003</v>
      </c>
      <c r="D79" s="1">
        <v>43830</v>
      </c>
      <c r="E79">
        <v>43</v>
      </c>
      <c r="F79" s="5">
        <v>0.27596439169139497</v>
      </c>
    </row>
    <row r="80" spans="1:6" x14ac:dyDescent="0.35">
      <c r="A80" t="s">
        <v>15</v>
      </c>
      <c r="B80" s="1">
        <v>43465</v>
      </c>
      <c r="C80">
        <v>24.198599999999999</v>
      </c>
      <c r="D80" s="1">
        <v>43830</v>
      </c>
      <c r="E80">
        <v>27.175056000000001</v>
      </c>
      <c r="F80" s="5">
        <v>0.12300116535667401</v>
      </c>
    </row>
    <row r="81" spans="1:6" x14ac:dyDescent="0.35">
      <c r="A81" t="s">
        <v>19</v>
      </c>
      <c r="B81" s="1">
        <v>43465</v>
      </c>
      <c r="C81">
        <v>26.564299999999999</v>
      </c>
      <c r="D81" s="1">
        <v>43830</v>
      </c>
      <c r="E81">
        <v>29.586777000000001</v>
      </c>
      <c r="F81" s="5">
        <v>0.113779659166626</v>
      </c>
    </row>
    <row r="82" spans="1:6" x14ac:dyDescent="0.35">
      <c r="A82" t="s">
        <v>4</v>
      </c>
      <c r="B82" s="1">
        <v>43830</v>
      </c>
      <c r="C82">
        <v>4.95</v>
      </c>
      <c r="D82" s="1">
        <v>44196</v>
      </c>
      <c r="E82">
        <v>5.38</v>
      </c>
      <c r="F82" s="5">
        <v>8.6868686868686804E-2</v>
      </c>
    </row>
    <row r="83" spans="1:6" x14ac:dyDescent="0.35">
      <c r="A83" t="s">
        <v>35</v>
      </c>
      <c r="B83" s="1">
        <v>43830</v>
      </c>
      <c r="C83">
        <v>21.463899999999999</v>
      </c>
      <c r="D83" s="1">
        <v>44196</v>
      </c>
      <c r="E83">
        <v>28.649607</v>
      </c>
      <c r="F83" s="5">
        <v>0.33478105097396099</v>
      </c>
    </row>
    <row r="84" spans="1:6" x14ac:dyDescent="0.35">
      <c r="A84" t="s">
        <v>24</v>
      </c>
      <c r="B84" s="1">
        <v>43830</v>
      </c>
      <c r="C84">
        <v>29.549600000000002</v>
      </c>
      <c r="D84" s="1">
        <v>44196</v>
      </c>
      <c r="E84">
        <v>34.940372000000004</v>
      </c>
      <c r="F84" s="5">
        <v>0.18243130194655799</v>
      </c>
    </row>
    <row r="85" spans="1:6" x14ac:dyDescent="0.35">
      <c r="A85" t="s">
        <v>28</v>
      </c>
      <c r="B85" s="1">
        <v>43830</v>
      </c>
      <c r="C85">
        <v>25.8</v>
      </c>
      <c r="D85" s="1">
        <v>44196</v>
      </c>
      <c r="E85">
        <v>23.66</v>
      </c>
      <c r="F85" s="5">
        <v>-8.2945736434108505E-2</v>
      </c>
    </row>
    <row r="86" spans="1:6" x14ac:dyDescent="0.35">
      <c r="A86" t="s">
        <v>57</v>
      </c>
      <c r="B86" s="1">
        <v>43830</v>
      </c>
      <c r="C86">
        <v>6.5</v>
      </c>
      <c r="D86" s="1">
        <v>44196</v>
      </c>
      <c r="E86">
        <v>15.9975</v>
      </c>
      <c r="F86" s="5">
        <v>1.46115384615385</v>
      </c>
    </row>
    <row r="87" spans="1:6" x14ac:dyDescent="0.35">
      <c r="A87" t="s">
        <v>11</v>
      </c>
      <c r="B87" s="1">
        <v>43830</v>
      </c>
      <c r="C87">
        <v>26.41</v>
      </c>
      <c r="D87" s="1">
        <v>44196</v>
      </c>
      <c r="E87">
        <v>19.399999999999999</v>
      </c>
      <c r="F87" s="5">
        <v>-0.26542976145399499</v>
      </c>
    </row>
    <row r="88" spans="1:6" x14ac:dyDescent="0.35">
      <c r="A88" t="s">
        <v>7</v>
      </c>
      <c r="B88" s="1">
        <v>43830</v>
      </c>
      <c r="C88">
        <v>36.93</v>
      </c>
      <c r="D88" s="1">
        <v>44196</v>
      </c>
      <c r="E88">
        <v>75.410004000000001</v>
      </c>
      <c r="F88" s="5">
        <v>1.0419714053614899</v>
      </c>
    </row>
    <row r="89" spans="1:6" x14ac:dyDescent="0.35">
      <c r="A89" t="s">
        <v>56</v>
      </c>
      <c r="B89" s="1">
        <v>43830</v>
      </c>
      <c r="C89">
        <v>11.768599999999999</v>
      </c>
      <c r="D89" s="1">
        <v>44196</v>
      </c>
      <c r="E89">
        <v>9.9373430000000003</v>
      </c>
      <c r="F89" s="5">
        <v>-0.155605339632582</v>
      </c>
    </row>
    <row r="90" spans="1:6" x14ac:dyDescent="0.35">
      <c r="A90" t="s">
        <v>17</v>
      </c>
      <c r="B90" s="1">
        <v>43830</v>
      </c>
      <c r="C90">
        <v>22.763100000000001</v>
      </c>
      <c r="D90" s="1">
        <v>44196</v>
      </c>
      <c r="E90">
        <v>23.132631</v>
      </c>
      <c r="F90" s="5">
        <v>1.62337730801165E-2</v>
      </c>
    </row>
    <row r="91" spans="1:6" x14ac:dyDescent="0.35">
      <c r="A91" t="s">
        <v>58</v>
      </c>
      <c r="B91" s="1">
        <v>43830</v>
      </c>
      <c r="C91">
        <v>4.5</v>
      </c>
      <c r="D91" s="1">
        <v>44196</v>
      </c>
      <c r="E91">
        <v>2.87</v>
      </c>
      <c r="F91" s="5">
        <v>-0.362222222222222</v>
      </c>
    </row>
    <row r="92" spans="1:6" x14ac:dyDescent="0.35">
      <c r="A92" t="s">
        <v>16</v>
      </c>
      <c r="B92" s="1">
        <v>43830</v>
      </c>
      <c r="C92">
        <v>17.392499999999998</v>
      </c>
      <c r="D92" s="1">
        <v>44196</v>
      </c>
      <c r="E92">
        <v>18.932500999999998</v>
      </c>
      <c r="F92" s="5">
        <v>8.8543970102055405E-2</v>
      </c>
    </row>
    <row r="93" spans="1:6" x14ac:dyDescent="0.35">
      <c r="A93" t="s">
        <v>59</v>
      </c>
      <c r="B93" s="1">
        <v>43830</v>
      </c>
      <c r="C93">
        <v>47.52</v>
      </c>
      <c r="D93" s="1">
        <v>44196</v>
      </c>
      <c r="E93">
        <v>43.759998000000003</v>
      </c>
      <c r="F93" s="5">
        <v>-7.9124621212121202E-2</v>
      </c>
    </row>
    <row r="94" spans="1:6" x14ac:dyDescent="0.35">
      <c r="A94" t="s">
        <v>9</v>
      </c>
      <c r="B94" s="1">
        <v>43830</v>
      </c>
      <c r="C94">
        <v>9.9034999999999993</v>
      </c>
      <c r="D94" s="1">
        <v>44196</v>
      </c>
      <c r="E94">
        <v>14.427731</v>
      </c>
      <c r="F94" s="5">
        <v>0.456831524208613</v>
      </c>
    </row>
    <row r="95" spans="1:6" x14ac:dyDescent="0.35">
      <c r="A95" t="s">
        <v>25</v>
      </c>
      <c r="B95" s="1">
        <v>43830</v>
      </c>
      <c r="C95">
        <v>37.700000000000003</v>
      </c>
      <c r="D95" s="1">
        <v>44196</v>
      </c>
      <c r="E95">
        <v>29.629999000000002</v>
      </c>
      <c r="F95" s="5">
        <v>-0.214058381962865</v>
      </c>
    </row>
    <row r="96" spans="1:6" x14ac:dyDescent="0.35">
      <c r="A96" t="s">
        <v>14</v>
      </c>
      <c r="B96" s="1">
        <v>43830</v>
      </c>
      <c r="C96">
        <v>14.12</v>
      </c>
      <c r="D96" s="1">
        <v>44196</v>
      </c>
      <c r="E96">
        <v>8.0399999999999991</v>
      </c>
      <c r="F96" s="5">
        <v>-0.43059490084985802</v>
      </c>
    </row>
    <row r="97" spans="1:6" x14ac:dyDescent="0.35">
      <c r="A97" t="s">
        <v>13</v>
      </c>
      <c r="B97" s="1">
        <v>43830</v>
      </c>
      <c r="C97">
        <v>15.336399999999999</v>
      </c>
      <c r="D97" s="1">
        <v>44196</v>
      </c>
      <c r="E97">
        <v>13.227271999999999</v>
      </c>
      <c r="F97" s="5">
        <v>-0.13752432122271199</v>
      </c>
    </row>
    <row r="98" spans="1:6" x14ac:dyDescent="0.35">
      <c r="A98" t="s">
        <v>90</v>
      </c>
      <c r="B98" s="1">
        <v>43830</v>
      </c>
      <c r="C98">
        <v>2.5325000000000002</v>
      </c>
      <c r="D98" s="1">
        <v>44196</v>
      </c>
      <c r="E98">
        <v>3.375</v>
      </c>
      <c r="F98" s="5">
        <v>0.33267522211253697</v>
      </c>
    </row>
    <row r="99" spans="1:6" x14ac:dyDescent="0.35">
      <c r="A99" t="s">
        <v>60</v>
      </c>
      <c r="B99" s="1">
        <v>43830</v>
      </c>
      <c r="C99">
        <v>19.633299999999998</v>
      </c>
      <c r="D99" s="1">
        <v>44196</v>
      </c>
      <c r="E99">
        <v>21.799999</v>
      </c>
      <c r="F99" s="5">
        <v>0.11035837072728499</v>
      </c>
    </row>
    <row r="100" spans="1:6" x14ac:dyDescent="0.35">
      <c r="A100" t="s">
        <v>33</v>
      </c>
      <c r="B100" s="1">
        <v>43830</v>
      </c>
      <c r="C100">
        <v>53.3</v>
      </c>
      <c r="D100" s="1">
        <v>44196</v>
      </c>
      <c r="E100">
        <v>87.449996999999996</v>
      </c>
      <c r="F100" s="5">
        <v>0.64071288930581605</v>
      </c>
    </row>
    <row r="101" spans="1:6" x14ac:dyDescent="0.35">
      <c r="A101" t="s">
        <v>61</v>
      </c>
      <c r="B101" s="1">
        <v>43830</v>
      </c>
      <c r="C101">
        <v>170</v>
      </c>
      <c r="D101" s="1">
        <v>44196</v>
      </c>
      <c r="E101">
        <v>224.990005</v>
      </c>
      <c r="F101" s="5">
        <v>0.32347061764705898</v>
      </c>
    </row>
    <row r="102" spans="1:6" x14ac:dyDescent="0.35">
      <c r="A102" t="s">
        <v>126</v>
      </c>
      <c r="B102" s="1">
        <v>44196</v>
      </c>
      <c r="C102">
        <v>5.79</v>
      </c>
      <c r="D102" s="1">
        <v>44561</v>
      </c>
      <c r="E102">
        <v>15.46</v>
      </c>
      <c r="F102" s="5">
        <v>1.6701208981001701</v>
      </c>
    </row>
    <row r="103" spans="1:6" x14ac:dyDescent="0.35">
      <c r="A103" t="s">
        <v>24</v>
      </c>
      <c r="B103" s="1">
        <v>44196</v>
      </c>
      <c r="C103">
        <v>34.940399999999997</v>
      </c>
      <c r="D103" s="1">
        <v>44561</v>
      </c>
      <c r="E103">
        <v>37.396178999999997</v>
      </c>
      <c r="F103" s="5">
        <v>7.0284799258165206E-2</v>
      </c>
    </row>
    <row r="104" spans="1:6" x14ac:dyDescent="0.35">
      <c r="A104" t="s">
        <v>29</v>
      </c>
      <c r="B104" s="1">
        <v>44196</v>
      </c>
      <c r="C104">
        <v>15.7</v>
      </c>
      <c r="D104" s="1">
        <v>44561</v>
      </c>
      <c r="E104">
        <v>12.74</v>
      </c>
      <c r="F104" s="5">
        <v>-0.18853503184713399</v>
      </c>
    </row>
    <row r="105" spans="1:6" x14ac:dyDescent="0.35">
      <c r="A105" t="s">
        <v>31</v>
      </c>
      <c r="B105" s="1">
        <v>44196</v>
      </c>
      <c r="C105">
        <v>10.18</v>
      </c>
      <c r="D105" s="1">
        <v>44561</v>
      </c>
      <c r="E105">
        <v>10.55</v>
      </c>
      <c r="F105" s="5">
        <v>3.6345776031434303E-2</v>
      </c>
    </row>
    <row r="106" spans="1:6" x14ac:dyDescent="0.35">
      <c r="A106" t="s">
        <v>71</v>
      </c>
      <c r="B106" s="1">
        <v>44196</v>
      </c>
      <c r="C106">
        <v>25.479500000000002</v>
      </c>
      <c r="D106" s="1">
        <v>44561</v>
      </c>
      <c r="E106">
        <v>16.964348000000001</v>
      </c>
      <c r="F106" s="5">
        <v>-0.33419619694264002</v>
      </c>
    </row>
    <row r="107" spans="1:6" x14ac:dyDescent="0.35">
      <c r="A107" t="s">
        <v>81</v>
      </c>
      <c r="B107" s="1">
        <v>44196</v>
      </c>
      <c r="C107">
        <v>11.343</v>
      </c>
      <c r="D107" s="1">
        <v>44561</v>
      </c>
      <c r="E107">
        <v>18.607437000000001</v>
      </c>
      <c r="F107" s="5">
        <v>0.64043348320550098</v>
      </c>
    </row>
    <row r="108" spans="1:6" x14ac:dyDescent="0.35">
      <c r="A108" t="s">
        <v>7</v>
      </c>
      <c r="B108" s="1">
        <v>44196</v>
      </c>
      <c r="C108">
        <v>75.41</v>
      </c>
      <c r="D108" s="1">
        <v>44561</v>
      </c>
      <c r="E108">
        <v>76</v>
      </c>
      <c r="F108" s="5">
        <v>7.8238960350087705E-3</v>
      </c>
    </row>
    <row r="109" spans="1:6" x14ac:dyDescent="0.35">
      <c r="A109" t="s">
        <v>50</v>
      </c>
      <c r="B109" s="1">
        <v>44196</v>
      </c>
      <c r="C109">
        <v>35</v>
      </c>
      <c r="D109" s="1">
        <v>44561</v>
      </c>
      <c r="E109">
        <v>28.799999</v>
      </c>
      <c r="F109" s="5">
        <v>-0.17714288571428599</v>
      </c>
    </row>
    <row r="110" spans="1:6" x14ac:dyDescent="0.35">
      <c r="A110" t="s">
        <v>33</v>
      </c>
      <c r="B110" s="1">
        <v>44196</v>
      </c>
      <c r="C110">
        <v>87.45</v>
      </c>
      <c r="D110" s="1">
        <v>44561</v>
      </c>
      <c r="E110">
        <v>78.75</v>
      </c>
      <c r="F110" s="5">
        <v>-9.9485420240137304E-2</v>
      </c>
    </row>
    <row r="111" spans="1:6" x14ac:dyDescent="0.35">
      <c r="A111" t="s">
        <v>15</v>
      </c>
      <c r="B111" s="1">
        <v>44196</v>
      </c>
      <c r="C111">
        <v>22.4298</v>
      </c>
      <c r="D111" s="1">
        <v>44561</v>
      </c>
      <c r="E111">
        <v>17.463636000000001</v>
      </c>
      <c r="F111" s="5">
        <v>-0.221409196693684</v>
      </c>
    </row>
    <row r="112" spans="1:6" x14ac:dyDescent="0.35">
      <c r="A112" t="s">
        <v>11</v>
      </c>
      <c r="B112" s="1">
        <v>44196</v>
      </c>
      <c r="C112">
        <v>19.399999999999999</v>
      </c>
      <c r="D112" s="1">
        <v>44561</v>
      </c>
      <c r="E112">
        <v>14.425000000000001</v>
      </c>
      <c r="F112" s="5">
        <v>-0.25644329896907198</v>
      </c>
    </row>
    <row r="113" spans="1:6" x14ac:dyDescent="0.35">
      <c r="A113" t="s">
        <v>19</v>
      </c>
      <c r="B113" s="1">
        <v>44196</v>
      </c>
      <c r="C113">
        <v>40.413200000000003</v>
      </c>
      <c r="D113" s="1">
        <v>44561</v>
      </c>
      <c r="E113">
        <v>85.289253000000002</v>
      </c>
      <c r="F113" s="5">
        <v>1.11043057713816</v>
      </c>
    </row>
    <row r="114" spans="1:6" x14ac:dyDescent="0.35">
      <c r="A114" t="s">
        <v>14</v>
      </c>
      <c r="B114" s="1">
        <v>44196</v>
      </c>
      <c r="C114">
        <v>8.0399999999999991</v>
      </c>
      <c r="D114" s="1">
        <v>44561</v>
      </c>
      <c r="E114">
        <v>8.02</v>
      </c>
      <c r="F114" s="5">
        <v>-2.48756218905466E-3</v>
      </c>
    </row>
    <row r="115" spans="1:6" x14ac:dyDescent="0.35">
      <c r="A115" t="s">
        <v>25</v>
      </c>
      <c r="B115" s="1">
        <v>44196</v>
      </c>
      <c r="C115">
        <v>29.63</v>
      </c>
      <c r="D115" s="1">
        <v>44561</v>
      </c>
      <c r="E115">
        <v>20.879999000000002</v>
      </c>
      <c r="F115" s="5">
        <v>-0.29530884238947003</v>
      </c>
    </row>
    <row r="116" spans="1:6" x14ac:dyDescent="0.35">
      <c r="A116" t="s">
        <v>127</v>
      </c>
      <c r="B116" s="1">
        <v>44196</v>
      </c>
      <c r="C116">
        <v>22.130700000000001</v>
      </c>
      <c r="D116" s="1">
        <v>44561</v>
      </c>
      <c r="E116">
        <v>70.339995999999999</v>
      </c>
      <c r="F116" s="5">
        <v>2.1783900192944601</v>
      </c>
    </row>
    <row r="117" spans="1:6" x14ac:dyDescent="0.35">
      <c r="A117" t="s">
        <v>59</v>
      </c>
      <c r="B117" s="1">
        <v>44196</v>
      </c>
      <c r="C117">
        <v>43.76</v>
      </c>
      <c r="D117" s="1">
        <v>44561</v>
      </c>
      <c r="E117">
        <v>33.099997999999999</v>
      </c>
      <c r="F117" s="5">
        <v>-0.24360150822669099</v>
      </c>
    </row>
    <row r="118" spans="1:6" x14ac:dyDescent="0.35">
      <c r="A118" t="s">
        <v>17</v>
      </c>
      <c r="B118" s="1">
        <v>44196</v>
      </c>
      <c r="C118">
        <v>23.1326</v>
      </c>
      <c r="D118" s="1">
        <v>44561</v>
      </c>
      <c r="E118">
        <v>22.583280999999999</v>
      </c>
      <c r="F118" s="5">
        <v>-2.37465308698547E-2</v>
      </c>
    </row>
    <row r="119" spans="1:6" x14ac:dyDescent="0.35">
      <c r="A119" t="s">
        <v>57</v>
      </c>
      <c r="B119" s="1">
        <v>44196</v>
      </c>
      <c r="C119">
        <v>15.9975</v>
      </c>
      <c r="D119" s="1">
        <v>44561</v>
      </c>
      <c r="E119">
        <v>20.497499000000001</v>
      </c>
      <c r="F119" s="5">
        <v>0.28129388967026098</v>
      </c>
    </row>
    <row r="120" spans="1:6" x14ac:dyDescent="0.35">
      <c r="A120" t="s">
        <v>35</v>
      </c>
      <c r="B120" s="1">
        <v>44196</v>
      </c>
      <c r="C120">
        <v>28.6496</v>
      </c>
      <c r="D120" s="1">
        <v>44561</v>
      </c>
      <c r="E120">
        <v>28.610001</v>
      </c>
      <c r="F120" s="5">
        <v>-1.38218334636431E-3</v>
      </c>
    </row>
    <row r="121" spans="1:6" x14ac:dyDescent="0.35">
      <c r="A121" t="s">
        <v>16</v>
      </c>
      <c r="B121" s="1">
        <v>44196</v>
      </c>
      <c r="C121">
        <v>18.932500000000001</v>
      </c>
      <c r="D121" s="1">
        <v>44561</v>
      </c>
      <c r="E121">
        <v>21.629999000000002</v>
      </c>
      <c r="F121" s="5">
        <v>0.14247980985078601</v>
      </c>
    </row>
    <row r="122" spans="1:6" x14ac:dyDescent="0.35">
      <c r="A122" t="s">
        <v>4</v>
      </c>
      <c r="B122" s="1">
        <v>44561</v>
      </c>
      <c r="C122">
        <v>6.27</v>
      </c>
      <c r="D122" s="1">
        <v>44926</v>
      </c>
      <c r="E122">
        <v>6.25</v>
      </c>
      <c r="F122" s="5">
        <v>-3.1897926634768502E-3</v>
      </c>
    </row>
    <row r="123" spans="1:6" x14ac:dyDescent="0.35">
      <c r="A123" t="s">
        <v>21</v>
      </c>
      <c r="B123" s="1">
        <v>44561</v>
      </c>
      <c r="C123">
        <v>24.98</v>
      </c>
      <c r="D123" s="1">
        <v>44926</v>
      </c>
      <c r="E123">
        <v>29.719999000000001</v>
      </c>
      <c r="F123" s="5">
        <v>0.189751761409127</v>
      </c>
    </row>
    <row r="124" spans="1:6" x14ac:dyDescent="0.35">
      <c r="A124" t="s">
        <v>35</v>
      </c>
      <c r="B124" s="1">
        <v>44561</v>
      </c>
      <c r="C124">
        <v>28.61</v>
      </c>
      <c r="D124" s="1">
        <v>44926</v>
      </c>
      <c r="E124">
        <v>27.620000999999998</v>
      </c>
      <c r="F124" s="5">
        <v>-3.4603250611674199E-2</v>
      </c>
    </row>
    <row r="125" spans="1:6" x14ac:dyDescent="0.35">
      <c r="A125" t="s">
        <v>72</v>
      </c>
      <c r="B125" s="1">
        <v>44561</v>
      </c>
      <c r="C125">
        <v>7.7573999999999996</v>
      </c>
      <c r="D125" s="1">
        <v>44926</v>
      </c>
      <c r="E125">
        <v>8.5692299999999992</v>
      </c>
      <c r="F125" s="5">
        <v>0.104652331966896</v>
      </c>
    </row>
    <row r="126" spans="1:6" x14ac:dyDescent="0.35">
      <c r="A126" t="s">
        <v>81</v>
      </c>
      <c r="B126" s="1">
        <v>44561</v>
      </c>
      <c r="C126">
        <v>18.607399999999998</v>
      </c>
      <c r="D126" s="1">
        <v>44926</v>
      </c>
      <c r="E126">
        <v>21.322727</v>
      </c>
      <c r="F126" s="5">
        <v>0.14592726549652299</v>
      </c>
    </row>
    <row r="127" spans="1:6" x14ac:dyDescent="0.35">
      <c r="A127" t="s">
        <v>91</v>
      </c>
      <c r="B127" s="1">
        <v>44561</v>
      </c>
      <c r="C127">
        <v>26.65</v>
      </c>
      <c r="D127" s="1">
        <v>44926</v>
      </c>
      <c r="E127">
        <v>33.200001</v>
      </c>
      <c r="F127" s="5">
        <v>0.24577864915572201</v>
      </c>
    </row>
    <row r="128" spans="1:6" x14ac:dyDescent="0.35">
      <c r="A128" t="s">
        <v>84</v>
      </c>
      <c r="B128" s="1">
        <v>44561</v>
      </c>
      <c r="C128">
        <v>11.43</v>
      </c>
      <c r="D128" s="1">
        <v>44926</v>
      </c>
      <c r="E128">
        <v>12.97</v>
      </c>
      <c r="F128" s="5">
        <v>0.134733158355206</v>
      </c>
    </row>
    <row r="129" spans="1:6" x14ac:dyDescent="0.35">
      <c r="A129" t="s">
        <v>9</v>
      </c>
      <c r="B129" s="1">
        <v>44561</v>
      </c>
      <c r="C129">
        <v>21.944900000000001</v>
      </c>
      <c r="D129" s="1">
        <v>44926</v>
      </c>
      <c r="E129">
        <v>8.6506729999999994</v>
      </c>
      <c r="F129" s="5">
        <v>-0.605800299841877</v>
      </c>
    </row>
    <row r="130" spans="1:6" x14ac:dyDescent="0.35">
      <c r="A130" t="s">
        <v>40</v>
      </c>
      <c r="B130" s="1">
        <v>44561</v>
      </c>
      <c r="C130">
        <v>21.06</v>
      </c>
      <c r="D130" s="1">
        <v>44926</v>
      </c>
      <c r="E130">
        <v>25</v>
      </c>
      <c r="F130" s="5">
        <v>0.18708452041785401</v>
      </c>
    </row>
    <row r="131" spans="1:6" x14ac:dyDescent="0.35">
      <c r="A131" t="s">
        <v>97</v>
      </c>
      <c r="B131" s="1">
        <v>44561</v>
      </c>
      <c r="C131">
        <v>21.634899999999998</v>
      </c>
      <c r="D131" s="1">
        <v>44926</v>
      </c>
      <c r="E131">
        <v>23.309522999999999</v>
      </c>
      <c r="F131" s="5">
        <v>7.7403778154740796E-2</v>
      </c>
    </row>
    <row r="132" spans="1:6" x14ac:dyDescent="0.35">
      <c r="A132" t="s">
        <v>111</v>
      </c>
      <c r="B132" s="1">
        <v>44561</v>
      </c>
      <c r="C132">
        <v>7.6</v>
      </c>
      <c r="D132" s="1">
        <v>44926</v>
      </c>
      <c r="E132">
        <v>1.7</v>
      </c>
      <c r="F132" s="5">
        <v>-0.77631578947368396</v>
      </c>
    </row>
    <row r="133" spans="1:6" x14ac:dyDescent="0.35">
      <c r="A133" t="s">
        <v>61</v>
      </c>
      <c r="B133" s="1">
        <v>44561</v>
      </c>
      <c r="C133">
        <v>389.99</v>
      </c>
      <c r="D133" s="1">
        <v>44926</v>
      </c>
      <c r="E133">
        <v>477.47000100000002</v>
      </c>
      <c r="F133" s="5">
        <v>0.224313446498628</v>
      </c>
    </row>
    <row r="134" spans="1:6" x14ac:dyDescent="0.35">
      <c r="A134" t="s">
        <v>42</v>
      </c>
      <c r="B134" s="1">
        <v>44561</v>
      </c>
      <c r="C134">
        <v>11.85</v>
      </c>
      <c r="D134" s="1">
        <v>44926</v>
      </c>
      <c r="E134">
        <v>10.71</v>
      </c>
      <c r="F134" s="5">
        <v>-9.6202531645569495E-2</v>
      </c>
    </row>
    <row r="135" spans="1:6" x14ac:dyDescent="0.35">
      <c r="A135" t="s">
        <v>53</v>
      </c>
      <c r="B135" s="1">
        <v>44561</v>
      </c>
      <c r="C135">
        <v>24.33</v>
      </c>
      <c r="D135" s="1">
        <v>44926</v>
      </c>
      <c r="E135">
        <v>11.01</v>
      </c>
      <c r="F135" s="5">
        <v>-0.54747225647348996</v>
      </c>
    </row>
    <row r="136" spans="1:6" x14ac:dyDescent="0.35">
      <c r="A136" t="s">
        <v>52</v>
      </c>
      <c r="B136" s="1">
        <v>44561</v>
      </c>
      <c r="C136">
        <v>12.13</v>
      </c>
      <c r="D136" s="1">
        <v>44926</v>
      </c>
      <c r="E136">
        <v>11.65</v>
      </c>
      <c r="F136" s="5">
        <v>-3.9571310799670197E-2</v>
      </c>
    </row>
    <row r="137" spans="1:6" x14ac:dyDescent="0.35">
      <c r="A137" t="s">
        <v>128</v>
      </c>
      <c r="B137" s="1">
        <v>44561</v>
      </c>
      <c r="C137">
        <v>10.8</v>
      </c>
      <c r="D137" s="1">
        <v>44926</v>
      </c>
      <c r="E137">
        <v>8.2100000000000009</v>
      </c>
      <c r="F137" s="5">
        <v>-0.23981481481481501</v>
      </c>
    </row>
    <row r="138" spans="1:6" x14ac:dyDescent="0.35">
      <c r="A138" t="s">
        <v>103</v>
      </c>
      <c r="B138" s="1">
        <v>44561</v>
      </c>
      <c r="C138">
        <v>40.200000000000003</v>
      </c>
      <c r="D138" s="1">
        <v>44926</v>
      </c>
      <c r="E138">
        <v>46.009998000000003</v>
      </c>
      <c r="F138" s="5">
        <v>0.14452731343283601</v>
      </c>
    </row>
    <row r="139" spans="1:6" x14ac:dyDescent="0.35">
      <c r="A139" t="s">
        <v>129</v>
      </c>
      <c r="B139" s="1">
        <v>44561</v>
      </c>
      <c r="C139">
        <v>21.436900000000001</v>
      </c>
      <c r="D139" s="1">
        <v>44926</v>
      </c>
      <c r="E139">
        <v>8.2799999999999994</v>
      </c>
      <c r="F139" s="5">
        <v>-0.61375012245240701</v>
      </c>
    </row>
    <row r="140" spans="1:6" x14ac:dyDescent="0.35">
      <c r="A140" t="s">
        <v>43</v>
      </c>
      <c r="B140" s="1">
        <v>44561</v>
      </c>
      <c r="C140">
        <v>21.11</v>
      </c>
      <c r="D140" s="1">
        <v>44926</v>
      </c>
      <c r="E140">
        <v>15.55</v>
      </c>
      <c r="F140" s="5">
        <v>-0.26338228327806701</v>
      </c>
    </row>
    <row r="141" spans="1:6" x14ac:dyDescent="0.35">
      <c r="A141" t="s">
        <v>44</v>
      </c>
      <c r="B141" s="1">
        <v>44561</v>
      </c>
      <c r="C141">
        <v>14.78</v>
      </c>
      <c r="D141" s="1">
        <v>44926</v>
      </c>
      <c r="E141">
        <v>21.6</v>
      </c>
      <c r="F141" s="5">
        <v>0.461434370771313</v>
      </c>
    </row>
    <row r="142" spans="1:6" x14ac:dyDescent="0.35">
      <c r="A142" t="s">
        <v>4</v>
      </c>
      <c r="B142" s="1">
        <v>44926</v>
      </c>
      <c r="C142">
        <v>6.25</v>
      </c>
      <c r="D142" s="1">
        <v>45291</v>
      </c>
      <c r="E142">
        <v>8.5</v>
      </c>
      <c r="F142" s="5">
        <v>0.36</v>
      </c>
    </row>
    <row r="143" spans="1:6" x14ac:dyDescent="0.35">
      <c r="A143" t="s">
        <v>47</v>
      </c>
      <c r="B143" s="1">
        <v>44926</v>
      </c>
      <c r="C143">
        <v>46.28</v>
      </c>
      <c r="D143" s="1">
        <v>45291</v>
      </c>
      <c r="E143">
        <v>48.580002</v>
      </c>
      <c r="F143" s="5">
        <v>4.9697536732930002E-2</v>
      </c>
    </row>
    <row r="144" spans="1:6" x14ac:dyDescent="0.35">
      <c r="A144" t="s">
        <v>48</v>
      </c>
      <c r="B144" s="1">
        <v>44926</v>
      </c>
      <c r="C144">
        <v>22.43</v>
      </c>
      <c r="D144" s="1">
        <v>45291</v>
      </c>
      <c r="E144">
        <v>34.25</v>
      </c>
      <c r="F144" s="5">
        <v>0.52697280427998205</v>
      </c>
    </row>
    <row r="145" spans="1:6" x14ac:dyDescent="0.35">
      <c r="A145" t="s">
        <v>40</v>
      </c>
      <c r="B145" s="1">
        <v>44926</v>
      </c>
      <c r="C145">
        <v>25</v>
      </c>
      <c r="D145" s="1">
        <v>45291</v>
      </c>
      <c r="E145">
        <v>33.970001000000003</v>
      </c>
      <c r="F145" s="5">
        <v>0.35880003999999999</v>
      </c>
    </row>
    <row r="146" spans="1:6" x14ac:dyDescent="0.35">
      <c r="A146" t="s">
        <v>15</v>
      </c>
      <c r="B146" s="1">
        <v>44926</v>
      </c>
      <c r="C146">
        <v>15.15</v>
      </c>
      <c r="D146" s="1">
        <v>45291</v>
      </c>
      <c r="E146">
        <v>17.09</v>
      </c>
      <c r="F146" s="5">
        <v>0.12805280528052801</v>
      </c>
    </row>
    <row r="147" spans="1:6" x14ac:dyDescent="0.35">
      <c r="A147" t="s">
        <v>49</v>
      </c>
      <c r="B147" s="1">
        <v>44926</v>
      </c>
      <c r="C147">
        <v>5.15</v>
      </c>
      <c r="D147" s="1">
        <v>45291</v>
      </c>
      <c r="E147">
        <v>5.74</v>
      </c>
      <c r="F147" s="5">
        <v>0.114563106796116</v>
      </c>
    </row>
    <row r="148" spans="1:6" x14ac:dyDescent="0.35">
      <c r="A148" t="s">
        <v>7</v>
      </c>
      <c r="B148" s="1">
        <v>44926</v>
      </c>
      <c r="C148">
        <v>67.989999999999995</v>
      </c>
      <c r="D148" s="1">
        <v>45291</v>
      </c>
      <c r="E148">
        <v>59</v>
      </c>
      <c r="F148" s="5">
        <v>-0.13222532725400801</v>
      </c>
    </row>
    <row r="149" spans="1:6" x14ac:dyDescent="0.35">
      <c r="A149" t="s">
        <v>16</v>
      </c>
      <c r="B149" s="1">
        <v>44926</v>
      </c>
      <c r="C149">
        <v>17.12</v>
      </c>
      <c r="D149" s="1">
        <v>45291</v>
      </c>
      <c r="E149">
        <v>19.360001</v>
      </c>
      <c r="F149" s="5">
        <v>0.13084117990654201</v>
      </c>
    </row>
    <row r="150" spans="1:6" x14ac:dyDescent="0.35">
      <c r="A150" t="s">
        <v>31</v>
      </c>
      <c r="B150" s="1">
        <v>44926</v>
      </c>
      <c r="C150">
        <v>12.96</v>
      </c>
      <c r="D150" s="1">
        <v>45291</v>
      </c>
      <c r="E150">
        <v>7.47</v>
      </c>
      <c r="F150" s="5">
        <v>-0.42361111111111099</v>
      </c>
    </row>
    <row r="151" spans="1:6" x14ac:dyDescent="0.35">
      <c r="A151" t="s">
        <v>10</v>
      </c>
      <c r="B151" s="1">
        <v>44926</v>
      </c>
      <c r="C151">
        <v>9.39</v>
      </c>
      <c r="D151" s="1">
        <v>45291</v>
      </c>
      <c r="E151">
        <v>6.96</v>
      </c>
      <c r="F151" s="5">
        <v>-0.25878594249201298</v>
      </c>
    </row>
    <row r="152" spans="1:6" x14ac:dyDescent="0.35">
      <c r="A152" t="s">
        <v>9</v>
      </c>
      <c r="B152" s="1">
        <v>44926</v>
      </c>
      <c r="C152">
        <v>8.6507000000000005</v>
      </c>
      <c r="D152" s="1">
        <v>45291</v>
      </c>
      <c r="E152">
        <v>9.6999999999999993</v>
      </c>
      <c r="F152" s="5">
        <v>0.121296542476331</v>
      </c>
    </row>
    <row r="153" spans="1:6" x14ac:dyDescent="0.35">
      <c r="A153" t="s">
        <v>11</v>
      </c>
      <c r="B153" s="1">
        <v>44926</v>
      </c>
      <c r="C153">
        <v>17.364999999999998</v>
      </c>
      <c r="D153" s="1">
        <v>45291</v>
      </c>
      <c r="E153">
        <v>27.695</v>
      </c>
      <c r="F153" s="5">
        <v>0.59487474805643603</v>
      </c>
    </row>
    <row r="154" spans="1:6" x14ac:dyDescent="0.35">
      <c r="A154" t="s">
        <v>50</v>
      </c>
      <c r="B154" s="1">
        <v>44926</v>
      </c>
      <c r="C154">
        <v>22.5</v>
      </c>
      <c r="D154" s="1">
        <v>45291</v>
      </c>
      <c r="E154">
        <v>21</v>
      </c>
      <c r="F154" s="5">
        <v>-6.6666666666666596E-2</v>
      </c>
    </row>
    <row r="155" spans="1:6" x14ac:dyDescent="0.35">
      <c r="A155" t="s">
        <v>38</v>
      </c>
      <c r="B155" s="1">
        <v>44926</v>
      </c>
      <c r="C155">
        <v>14.55</v>
      </c>
      <c r="D155" s="1">
        <v>45291</v>
      </c>
      <c r="E155">
        <v>19.66</v>
      </c>
      <c r="F155" s="5">
        <v>0.351202749140893</v>
      </c>
    </row>
    <row r="156" spans="1:6" x14ac:dyDescent="0.35">
      <c r="A156" t="s">
        <v>26</v>
      </c>
      <c r="B156" s="1">
        <v>44926</v>
      </c>
      <c r="C156">
        <v>5</v>
      </c>
      <c r="D156" s="1">
        <v>45291</v>
      </c>
      <c r="E156">
        <v>5</v>
      </c>
      <c r="F156" s="5">
        <v>0</v>
      </c>
    </row>
    <row r="157" spans="1:6" x14ac:dyDescent="0.35">
      <c r="A157" t="s">
        <v>53</v>
      </c>
      <c r="B157" s="1">
        <v>44926</v>
      </c>
      <c r="C157">
        <v>11.01</v>
      </c>
      <c r="D157" s="1">
        <v>45291</v>
      </c>
      <c r="E157">
        <v>16.010000000000002</v>
      </c>
      <c r="F157" s="5">
        <v>0.45413260672116301</v>
      </c>
    </row>
    <row r="158" spans="1:6" x14ac:dyDescent="0.35">
      <c r="A158" t="s">
        <v>43</v>
      </c>
      <c r="B158" s="1">
        <v>44926</v>
      </c>
      <c r="C158">
        <v>15.55</v>
      </c>
      <c r="D158" s="1">
        <v>45291</v>
      </c>
      <c r="E158">
        <v>22.76</v>
      </c>
      <c r="F158" s="5">
        <v>0.46366559485530501</v>
      </c>
    </row>
    <row r="159" spans="1:6" x14ac:dyDescent="0.35">
      <c r="A159" t="s">
        <v>14</v>
      </c>
      <c r="B159" s="1">
        <v>44926</v>
      </c>
      <c r="C159">
        <v>7.01</v>
      </c>
      <c r="D159" s="1">
        <v>45291</v>
      </c>
      <c r="E159">
        <v>7.25</v>
      </c>
      <c r="F159" s="5">
        <v>3.4236804564907297E-2</v>
      </c>
    </row>
    <row r="160" spans="1:6" x14ac:dyDescent="0.35">
      <c r="A160" t="s">
        <v>44</v>
      </c>
      <c r="B160" s="1">
        <v>44926</v>
      </c>
      <c r="C160">
        <v>21.6</v>
      </c>
      <c r="D160" s="1">
        <v>45291</v>
      </c>
      <c r="E160">
        <v>10.4</v>
      </c>
      <c r="F160" s="5">
        <v>-0.51851851851851904</v>
      </c>
    </row>
    <row r="161" spans="1:6" x14ac:dyDescent="0.35">
      <c r="A161" t="s">
        <v>37</v>
      </c>
      <c r="B161" s="1">
        <v>44926</v>
      </c>
      <c r="C161">
        <v>38.35</v>
      </c>
      <c r="D161" s="1">
        <v>45291</v>
      </c>
      <c r="E161">
        <v>53.439999</v>
      </c>
      <c r="F161" s="5">
        <v>0.39348106910039099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695D-018E-48DB-9CBD-D4673FC390DC}">
  <sheetPr codeName="Sheet2"/>
  <dimension ref="A1:F161"/>
  <sheetViews>
    <sheetView workbookViewId="0">
      <selection sqref="A1:F161"/>
    </sheetView>
  </sheetViews>
  <sheetFormatPr defaultRowHeight="14.5" x14ac:dyDescent="0.35"/>
  <cols>
    <col min="1" max="1" width="8.90625" bestFit="1" customWidth="1"/>
    <col min="2" max="2" width="10.453125" bestFit="1" customWidth="1"/>
    <col min="3" max="3" width="14.08984375" bestFit="1" customWidth="1"/>
    <col min="4" max="4" width="10.453125" bestFit="1" customWidth="1"/>
    <col min="5" max="5" width="12.453125" bestFit="1" customWidth="1"/>
    <col min="6" max="6" width="9.81640625" bestFit="1" customWidth="1"/>
    <col min="7" max="7" width="12.81640625" bestFit="1" customWidth="1"/>
    <col min="8" max="8" width="25.0898437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54</v>
      </c>
      <c r="F1" t="s">
        <v>55</v>
      </c>
    </row>
    <row r="2" spans="1:6" x14ac:dyDescent="0.35">
      <c r="A2" s="2" t="s">
        <v>63</v>
      </c>
      <c r="B2" s="1">
        <v>42369</v>
      </c>
      <c r="C2" s="3">
        <v>1.8556999999999999</v>
      </c>
      <c r="D2" s="1">
        <v>42735</v>
      </c>
      <c r="E2" s="3">
        <v>3.6128719999999999</v>
      </c>
      <c r="F2" s="4">
        <v>0.94690521097160096</v>
      </c>
    </row>
    <row r="3" spans="1:6" x14ac:dyDescent="0.35">
      <c r="A3" s="2" t="s">
        <v>73</v>
      </c>
      <c r="B3" s="1">
        <v>42369</v>
      </c>
      <c r="C3" s="3">
        <v>1</v>
      </c>
      <c r="D3" s="1">
        <v>42735</v>
      </c>
      <c r="E3" s="3">
        <v>0.51</v>
      </c>
      <c r="F3" s="4">
        <v>-0.49</v>
      </c>
    </row>
    <row r="4" spans="1:6" x14ac:dyDescent="0.35">
      <c r="A4" s="2" t="s">
        <v>26</v>
      </c>
      <c r="B4" s="1">
        <v>42369</v>
      </c>
      <c r="C4" s="3">
        <v>5</v>
      </c>
      <c r="D4" s="1">
        <v>42735</v>
      </c>
      <c r="E4" s="3">
        <v>5</v>
      </c>
      <c r="F4" s="4">
        <v>0</v>
      </c>
    </row>
    <row r="5" spans="1:6" x14ac:dyDescent="0.35">
      <c r="A5" s="2" t="s">
        <v>64</v>
      </c>
      <c r="B5" s="1">
        <v>42369</v>
      </c>
      <c r="C5" s="3">
        <v>4.0199999999999996</v>
      </c>
      <c r="D5" s="1">
        <v>42735</v>
      </c>
      <c r="E5" s="3">
        <v>8.26</v>
      </c>
      <c r="F5" s="4">
        <v>1.0547263681592001</v>
      </c>
    </row>
    <row r="6" spans="1:6" x14ac:dyDescent="0.35">
      <c r="A6" s="2" t="s">
        <v>74</v>
      </c>
      <c r="B6" s="1">
        <v>42369</v>
      </c>
      <c r="C6" s="3">
        <v>2.2279</v>
      </c>
      <c r="D6" s="1">
        <v>42735</v>
      </c>
      <c r="E6" s="3">
        <v>3.8721359999999998</v>
      </c>
      <c r="F6" s="4">
        <v>0.73802055747564999</v>
      </c>
    </row>
    <row r="7" spans="1:6" x14ac:dyDescent="0.35">
      <c r="A7" s="2" t="s">
        <v>38</v>
      </c>
      <c r="B7" s="1">
        <v>42369</v>
      </c>
      <c r="C7" s="3">
        <v>4</v>
      </c>
      <c r="D7" s="1">
        <v>42735</v>
      </c>
      <c r="E7" s="3">
        <v>10.85</v>
      </c>
      <c r="F7" s="4">
        <v>1.7124999999999999</v>
      </c>
    </row>
    <row r="8" spans="1:6" x14ac:dyDescent="0.35">
      <c r="A8" s="2" t="s">
        <v>68</v>
      </c>
      <c r="B8" s="1">
        <v>42369</v>
      </c>
      <c r="C8" s="3">
        <v>5</v>
      </c>
      <c r="D8" s="1">
        <v>42735</v>
      </c>
      <c r="E8" s="3">
        <v>2.6</v>
      </c>
      <c r="F8" s="4">
        <v>-0.48</v>
      </c>
    </row>
    <row r="9" spans="1:6" x14ac:dyDescent="0.35">
      <c r="A9" s="2" t="s">
        <v>67</v>
      </c>
      <c r="B9" s="1">
        <v>42369</v>
      </c>
      <c r="C9" s="3">
        <v>213</v>
      </c>
      <c r="D9" s="1">
        <v>42735</v>
      </c>
      <c r="E9" s="3">
        <v>287.97000100000002</v>
      </c>
      <c r="F9" s="4">
        <v>0.35197183568075102</v>
      </c>
    </row>
    <row r="10" spans="1:6" x14ac:dyDescent="0.35">
      <c r="A10" s="2" t="s">
        <v>66</v>
      </c>
      <c r="B10" s="1">
        <v>42369</v>
      </c>
      <c r="C10" s="3">
        <v>12.666700000000001</v>
      </c>
      <c r="D10" s="1">
        <v>42735</v>
      </c>
      <c r="E10" s="3">
        <v>19.793333000000001</v>
      </c>
      <c r="F10" s="4">
        <v>0.56262744045410396</v>
      </c>
    </row>
    <row r="11" spans="1:6" x14ac:dyDescent="0.35">
      <c r="A11" s="2" t="s">
        <v>132</v>
      </c>
      <c r="B11" s="1">
        <v>42369</v>
      </c>
      <c r="C11" s="3">
        <v>1.27</v>
      </c>
      <c r="D11" s="1">
        <v>42735</v>
      </c>
      <c r="E11" s="3">
        <v>1.41</v>
      </c>
      <c r="F11" s="4">
        <v>0.110236220472441</v>
      </c>
    </row>
    <row r="12" spans="1:6" x14ac:dyDescent="0.35">
      <c r="A12" s="2" t="s">
        <v>65</v>
      </c>
      <c r="B12" s="1">
        <v>42369</v>
      </c>
      <c r="C12" s="3">
        <v>5.83</v>
      </c>
      <c r="D12" s="1">
        <v>42735</v>
      </c>
      <c r="E12" s="3">
        <v>5.33</v>
      </c>
      <c r="F12" s="4">
        <v>-8.5763293310463201E-2</v>
      </c>
    </row>
    <row r="13" spans="1:6" x14ac:dyDescent="0.35">
      <c r="A13" s="2" t="s">
        <v>133</v>
      </c>
      <c r="B13" s="1">
        <v>42369</v>
      </c>
      <c r="C13" s="3">
        <v>1.4</v>
      </c>
      <c r="D13" s="1">
        <v>42735</v>
      </c>
      <c r="E13" s="3">
        <v>1.45</v>
      </c>
      <c r="F13" s="4">
        <v>3.5714285714285803E-2</v>
      </c>
    </row>
    <row r="14" spans="1:6" x14ac:dyDescent="0.35">
      <c r="A14" s="2" t="s">
        <v>9</v>
      </c>
      <c r="B14" s="1">
        <v>42369</v>
      </c>
      <c r="C14" s="3">
        <v>6.3140000000000001</v>
      </c>
      <c r="D14" s="1">
        <v>42735</v>
      </c>
      <c r="E14" s="3">
        <v>6.5725220000000002</v>
      </c>
      <c r="F14" s="4">
        <v>4.0944250871080203E-2</v>
      </c>
    </row>
    <row r="15" spans="1:6" x14ac:dyDescent="0.35">
      <c r="A15" s="2" t="s">
        <v>39</v>
      </c>
      <c r="B15" s="1">
        <v>42369</v>
      </c>
      <c r="C15" s="3">
        <v>2.7</v>
      </c>
      <c r="D15" s="1">
        <v>42735</v>
      </c>
      <c r="E15" s="3">
        <v>3</v>
      </c>
      <c r="F15" s="4">
        <v>0.11111111111111099</v>
      </c>
    </row>
    <row r="16" spans="1:6" x14ac:dyDescent="0.35">
      <c r="A16" s="2" t="s">
        <v>70</v>
      </c>
      <c r="B16" s="1">
        <v>42369</v>
      </c>
      <c r="C16" s="3">
        <v>159.3819</v>
      </c>
      <c r="D16" s="1">
        <v>42735</v>
      </c>
      <c r="E16" s="3">
        <v>119.940567</v>
      </c>
      <c r="F16" s="4">
        <v>-0.24746431683898901</v>
      </c>
    </row>
    <row r="17" spans="1:6" x14ac:dyDescent="0.35">
      <c r="A17" s="2" t="s">
        <v>119</v>
      </c>
      <c r="B17" s="1">
        <v>42369</v>
      </c>
      <c r="C17" s="3">
        <v>1.1299999999999999</v>
      </c>
      <c r="D17" s="1">
        <v>42735</v>
      </c>
      <c r="E17" s="3">
        <v>1.8</v>
      </c>
      <c r="F17" s="4">
        <v>0.59292035398230103</v>
      </c>
    </row>
    <row r="18" spans="1:6" x14ac:dyDescent="0.35">
      <c r="A18" s="2" t="s">
        <v>88</v>
      </c>
      <c r="B18" s="1">
        <v>42369</v>
      </c>
      <c r="C18" s="3">
        <v>51.99</v>
      </c>
      <c r="D18" s="1">
        <v>42735</v>
      </c>
      <c r="E18" s="3">
        <v>30.01</v>
      </c>
      <c r="F18" s="4">
        <v>-0.42277361030967497</v>
      </c>
    </row>
    <row r="19" spans="1:6" x14ac:dyDescent="0.35">
      <c r="A19" s="2" t="s">
        <v>109</v>
      </c>
      <c r="B19" s="1">
        <v>42369</v>
      </c>
      <c r="C19" s="3">
        <v>26.6</v>
      </c>
      <c r="D19" s="1">
        <v>42735</v>
      </c>
      <c r="E19" s="3">
        <v>31.200001</v>
      </c>
      <c r="F19" s="4">
        <v>0.172932368421053</v>
      </c>
    </row>
    <row r="20" spans="1:6" x14ac:dyDescent="0.35">
      <c r="A20" s="2" t="s">
        <v>86</v>
      </c>
      <c r="B20" s="1">
        <v>42369</v>
      </c>
      <c r="C20" s="3">
        <v>3.7073999999999998</v>
      </c>
      <c r="D20" s="1">
        <v>42735</v>
      </c>
      <c r="E20" s="3">
        <v>4.2146990000000004</v>
      </c>
      <c r="F20" s="4">
        <v>0.13683416949884</v>
      </c>
    </row>
    <row r="21" spans="1:6" x14ac:dyDescent="0.35">
      <c r="A21" s="2" t="s">
        <v>17</v>
      </c>
      <c r="B21" s="1">
        <v>42369</v>
      </c>
      <c r="C21" s="3">
        <v>6.8399000000000001</v>
      </c>
      <c r="D21" s="1">
        <v>42735</v>
      </c>
      <c r="E21" s="3">
        <v>10.867143</v>
      </c>
      <c r="F21" s="4">
        <v>0.58878682436877705</v>
      </c>
    </row>
    <row r="22" spans="1:6" x14ac:dyDescent="0.35">
      <c r="A22" s="2" t="s">
        <v>47</v>
      </c>
      <c r="B22" s="1">
        <v>42735</v>
      </c>
      <c r="C22" s="3">
        <v>10.119999999999999</v>
      </c>
      <c r="D22" s="1">
        <v>43100</v>
      </c>
      <c r="E22" s="3">
        <v>16.149999999999999</v>
      </c>
      <c r="F22" s="4">
        <v>0.59584980237154195</v>
      </c>
    </row>
    <row r="23" spans="1:6" x14ac:dyDescent="0.35">
      <c r="A23" s="2" t="s">
        <v>134</v>
      </c>
      <c r="B23" s="1">
        <v>42735</v>
      </c>
      <c r="C23" s="3">
        <v>5.6</v>
      </c>
      <c r="D23" s="1">
        <v>43100</v>
      </c>
      <c r="E23" s="3">
        <v>7.35</v>
      </c>
      <c r="F23" s="4">
        <v>0.3125</v>
      </c>
    </row>
    <row r="24" spans="1:6" x14ac:dyDescent="0.35">
      <c r="A24" s="2" t="s">
        <v>73</v>
      </c>
      <c r="B24" s="1">
        <v>42735</v>
      </c>
      <c r="C24" s="3">
        <v>0.51</v>
      </c>
      <c r="D24" s="1">
        <v>43100</v>
      </c>
      <c r="E24" s="3">
        <v>2.0099999999999998</v>
      </c>
      <c r="F24" s="4">
        <v>2.9411764705882302</v>
      </c>
    </row>
    <row r="25" spans="1:6" x14ac:dyDescent="0.35">
      <c r="A25" s="2" t="s">
        <v>77</v>
      </c>
      <c r="B25" s="1">
        <v>42735</v>
      </c>
      <c r="C25" s="3">
        <v>5.45</v>
      </c>
      <c r="D25" s="1">
        <v>43100</v>
      </c>
      <c r="E25" s="3">
        <v>6.15</v>
      </c>
      <c r="F25" s="4">
        <v>0.12844036697247699</v>
      </c>
    </row>
    <row r="26" spans="1:6" x14ac:dyDescent="0.35">
      <c r="A26" s="2" t="s">
        <v>31</v>
      </c>
      <c r="B26" s="1">
        <v>42735</v>
      </c>
      <c r="C26" s="3">
        <v>11.946999999999999</v>
      </c>
      <c r="D26" s="1">
        <v>43100</v>
      </c>
      <c r="E26" s="3">
        <v>10.472089</v>
      </c>
      <c r="F26" s="4">
        <v>-0.123454507407717</v>
      </c>
    </row>
    <row r="27" spans="1:6" x14ac:dyDescent="0.35">
      <c r="A27" s="2" t="s">
        <v>132</v>
      </c>
      <c r="B27" s="1">
        <v>42735</v>
      </c>
      <c r="C27" s="3">
        <v>1.41</v>
      </c>
      <c r="D27" s="1">
        <v>43100</v>
      </c>
      <c r="E27" s="3">
        <v>1.75</v>
      </c>
      <c r="F27" s="4">
        <v>0.24113475177304999</v>
      </c>
    </row>
    <row r="28" spans="1:6" x14ac:dyDescent="0.35">
      <c r="A28" s="2" t="s">
        <v>135</v>
      </c>
      <c r="B28" s="1">
        <v>42735</v>
      </c>
      <c r="C28" s="3">
        <v>3.6</v>
      </c>
      <c r="D28" s="1">
        <v>43100</v>
      </c>
      <c r="E28" s="3">
        <v>3.55</v>
      </c>
      <c r="F28" s="4">
        <v>-1.3888888888888999E-2</v>
      </c>
    </row>
    <row r="29" spans="1:6" x14ac:dyDescent="0.35">
      <c r="A29" s="2" t="s">
        <v>136</v>
      </c>
      <c r="B29" s="1">
        <v>42735</v>
      </c>
      <c r="C29" s="3">
        <v>143.63890000000001</v>
      </c>
      <c r="D29" s="1">
        <v>43100</v>
      </c>
      <c r="E29" s="3">
        <v>205.55834999999999</v>
      </c>
      <c r="F29" s="4">
        <v>0.43107716642218802</v>
      </c>
    </row>
    <row r="30" spans="1:6" x14ac:dyDescent="0.35">
      <c r="A30" s="2" t="s">
        <v>118</v>
      </c>
      <c r="B30" s="1">
        <v>42735</v>
      </c>
      <c r="C30" s="3">
        <v>3.75</v>
      </c>
      <c r="D30" s="1">
        <v>43100</v>
      </c>
      <c r="E30" s="3">
        <v>3.53</v>
      </c>
      <c r="F30" s="4">
        <v>-5.8666666666666797E-2</v>
      </c>
    </row>
    <row r="31" spans="1:6" x14ac:dyDescent="0.35">
      <c r="A31" s="2" t="s">
        <v>75</v>
      </c>
      <c r="B31" s="1">
        <v>42735</v>
      </c>
      <c r="C31" s="3">
        <v>13.45</v>
      </c>
      <c r="D31" s="1">
        <v>43100</v>
      </c>
      <c r="E31" s="3">
        <v>18.165001</v>
      </c>
      <c r="F31" s="4">
        <v>0.35055769516728602</v>
      </c>
    </row>
    <row r="32" spans="1:6" x14ac:dyDescent="0.35">
      <c r="A32" s="2" t="s">
        <v>10</v>
      </c>
      <c r="B32" s="1">
        <v>42735</v>
      </c>
      <c r="C32" s="3">
        <v>2.79</v>
      </c>
      <c r="D32" s="1">
        <v>43100</v>
      </c>
      <c r="E32" s="3">
        <v>3.11</v>
      </c>
      <c r="F32" s="4">
        <v>0.114695340501792</v>
      </c>
    </row>
    <row r="33" spans="1:6" x14ac:dyDescent="0.35">
      <c r="A33" s="2" t="s">
        <v>26</v>
      </c>
      <c r="B33" s="1">
        <v>42735</v>
      </c>
      <c r="C33" s="3">
        <v>5</v>
      </c>
      <c r="D33" s="1">
        <v>43100</v>
      </c>
      <c r="E33" s="3">
        <v>5</v>
      </c>
      <c r="F33" s="4">
        <v>0</v>
      </c>
    </row>
    <row r="34" spans="1:6" x14ac:dyDescent="0.35">
      <c r="A34" s="2" t="s">
        <v>38</v>
      </c>
      <c r="B34" s="1">
        <v>42735</v>
      </c>
      <c r="C34" s="3">
        <v>10.85</v>
      </c>
      <c r="D34" s="1">
        <v>43100</v>
      </c>
      <c r="E34" s="3">
        <v>8.3800000000000008</v>
      </c>
      <c r="F34" s="4">
        <v>-0.22764976958525299</v>
      </c>
    </row>
    <row r="35" spans="1:6" x14ac:dyDescent="0.35">
      <c r="A35" s="2" t="s">
        <v>51</v>
      </c>
      <c r="B35" s="1">
        <v>42735</v>
      </c>
      <c r="C35" s="3">
        <v>20.010000000000002</v>
      </c>
      <c r="D35" s="1">
        <v>43100</v>
      </c>
      <c r="E35" s="3">
        <v>18.690000999999999</v>
      </c>
      <c r="F35" s="4">
        <v>-6.5966966516741707E-2</v>
      </c>
    </row>
    <row r="36" spans="1:6" x14ac:dyDescent="0.35">
      <c r="A36" s="2" t="s">
        <v>80</v>
      </c>
      <c r="B36" s="1">
        <v>42735</v>
      </c>
      <c r="C36" s="3">
        <v>20</v>
      </c>
      <c r="D36" s="1">
        <v>43100</v>
      </c>
      <c r="E36" s="3">
        <v>25.1</v>
      </c>
      <c r="F36" s="4">
        <v>0.255</v>
      </c>
    </row>
    <row r="37" spans="1:6" x14ac:dyDescent="0.35">
      <c r="A37" s="2" t="s">
        <v>88</v>
      </c>
      <c r="B37" s="1">
        <v>42735</v>
      </c>
      <c r="C37" s="3">
        <v>30.01</v>
      </c>
      <c r="D37" s="1">
        <v>43100</v>
      </c>
      <c r="E37" s="3">
        <v>35</v>
      </c>
      <c r="F37" s="4">
        <v>0.166277907364212</v>
      </c>
    </row>
    <row r="38" spans="1:6" x14ac:dyDescent="0.35">
      <c r="A38" s="2" t="s">
        <v>79</v>
      </c>
      <c r="B38" s="1">
        <v>42735</v>
      </c>
      <c r="C38" s="3">
        <v>28</v>
      </c>
      <c r="D38" s="1">
        <v>43100</v>
      </c>
      <c r="E38" s="3">
        <v>28.408000999999999</v>
      </c>
      <c r="F38" s="4">
        <v>1.45714642857142E-2</v>
      </c>
    </row>
    <row r="39" spans="1:6" x14ac:dyDescent="0.35">
      <c r="A39" s="2" t="s">
        <v>90</v>
      </c>
      <c r="B39" s="1">
        <v>42735</v>
      </c>
      <c r="C39" s="3">
        <v>0.75539999999999996</v>
      </c>
      <c r="D39" s="1">
        <v>43100</v>
      </c>
      <c r="E39" s="3">
        <v>1.2303569999999999</v>
      </c>
      <c r="F39" s="4">
        <v>0.62874900714853099</v>
      </c>
    </row>
    <row r="40" spans="1:6" x14ac:dyDescent="0.35">
      <c r="A40" s="2" t="s">
        <v>17</v>
      </c>
      <c r="B40" s="1">
        <v>42735</v>
      </c>
      <c r="C40" s="3">
        <v>10.867100000000001</v>
      </c>
      <c r="D40" s="1">
        <v>43100</v>
      </c>
      <c r="E40" s="3">
        <v>13.114483999999999</v>
      </c>
      <c r="F40" s="4">
        <v>0.206806231653339</v>
      </c>
    </row>
    <row r="41" spans="1:6" x14ac:dyDescent="0.35">
      <c r="A41" s="2" t="s">
        <v>137</v>
      </c>
      <c r="B41" s="1">
        <v>42735</v>
      </c>
      <c r="C41" s="3">
        <v>7.9107000000000003</v>
      </c>
      <c r="D41" s="1">
        <v>43100</v>
      </c>
      <c r="E41" s="3">
        <v>7.1276039999999998</v>
      </c>
      <c r="F41" s="4">
        <v>-9.8991998179680699E-2</v>
      </c>
    </row>
    <row r="42" spans="1:6" x14ac:dyDescent="0.35">
      <c r="A42" s="2" t="s">
        <v>24</v>
      </c>
      <c r="B42" s="1">
        <v>43100</v>
      </c>
      <c r="C42" s="3">
        <v>28.531300000000002</v>
      </c>
      <c r="D42" s="1">
        <v>43465</v>
      </c>
      <c r="E42" s="3">
        <v>23.559792999999999</v>
      </c>
      <c r="F42" s="4">
        <v>-0.174247475579451</v>
      </c>
    </row>
    <row r="43" spans="1:6" x14ac:dyDescent="0.35">
      <c r="A43" s="2" t="s">
        <v>4</v>
      </c>
      <c r="B43" s="1">
        <v>43100</v>
      </c>
      <c r="C43" s="3">
        <v>3.5</v>
      </c>
      <c r="D43" s="1">
        <v>43465</v>
      </c>
      <c r="E43" s="3">
        <v>3.15</v>
      </c>
      <c r="F43" s="4">
        <v>-0.1</v>
      </c>
    </row>
    <row r="44" spans="1:6" x14ac:dyDescent="0.35">
      <c r="A44" s="2" t="s">
        <v>47</v>
      </c>
      <c r="B44" s="1">
        <v>43100</v>
      </c>
      <c r="C44" s="3">
        <v>16.149999999999999</v>
      </c>
      <c r="D44" s="1">
        <v>43465</v>
      </c>
      <c r="E44" s="3">
        <v>14.81</v>
      </c>
      <c r="F44" s="4">
        <v>-8.2972136222910095E-2</v>
      </c>
    </row>
    <row r="45" spans="1:6" x14ac:dyDescent="0.35">
      <c r="A45" s="2" t="s">
        <v>50</v>
      </c>
      <c r="B45" s="1">
        <v>43100</v>
      </c>
      <c r="C45" s="3">
        <v>25</v>
      </c>
      <c r="D45" s="1">
        <v>43465</v>
      </c>
      <c r="E45" s="3">
        <v>23</v>
      </c>
      <c r="F45" s="4">
        <v>-0.08</v>
      </c>
    </row>
    <row r="46" spans="1:6" x14ac:dyDescent="0.35">
      <c r="A46" s="2" t="s">
        <v>31</v>
      </c>
      <c r="B46" s="1">
        <v>43100</v>
      </c>
      <c r="C46" s="3">
        <v>10.472099999999999</v>
      </c>
      <c r="D46" s="1">
        <v>43465</v>
      </c>
      <c r="E46" s="3">
        <v>4.9066409999999996</v>
      </c>
      <c r="F46" s="4">
        <v>-0.53145586845045401</v>
      </c>
    </row>
    <row r="47" spans="1:6" x14ac:dyDescent="0.35">
      <c r="A47" s="2" t="s">
        <v>15</v>
      </c>
      <c r="B47" s="1">
        <v>43100</v>
      </c>
      <c r="C47" s="3">
        <v>19.2667</v>
      </c>
      <c r="D47" s="1">
        <v>43465</v>
      </c>
      <c r="E47" s="3">
        <v>24.198596999999999</v>
      </c>
      <c r="F47" s="4">
        <v>0.25598037027617598</v>
      </c>
    </row>
    <row r="48" spans="1:6" x14ac:dyDescent="0.35">
      <c r="A48" s="2" t="s">
        <v>81</v>
      </c>
      <c r="B48" s="1">
        <v>43100</v>
      </c>
      <c r="C48" s="3">
        <v>5.5103</v>
      </c>
      <c r="D48" s="1">
        <v>43465</v>
      </c>
      <c r="E48" s="3">
        <v>8.6487599999999993</v>
      </c>
      <c r="F48" s="4">
        <v>0.56956245576465903</v>
      </c>
    </row>
    <row r="49" spans="1:6" x14ac:dyDescent="0.35">
      <c r="A49" s="2" t="s">
        <v>29</v>
      </c>
      <c r="B49" s="1">
        <v>43100</v>
      </c>
      <c r="C49" s="3">
        <v>8.8000000000000007</v>
      </c>
      <c r="D49" s="1">
        <v>43465</v>
      </c>
      <c r="E49" s="3">
        <v>13.97</v>
      </c>
      <c r="F49" s="4">
        <v>0.58750000000000002</v>
      </c>
    </row>
    <row r="50" spans="1:6" x14ac:dyDescent="0.35">
      <c r="A50" s="2" t="s">
        <v>82</v>
      </c>
      <c r="B50" s="1">
        <v>43100</v>
      </c>
      <c r="C50" s="3">
        <v>38.29</v>
      </c>
      <c r="D50" s="1">
        <v>43465</v>
      </c>
      <c r="E50" s="3">
        <v>32.5</v>
      </c>
      <c r="F50" s="4">
        <v>-0.151214416296683</v>
      </c>
    </row>
    <row r="51" spans="1:6" x14ac:dyDescent="0.35">
      <c r="A51" s="2" t="s">
        <v>10</v>
      </c>
      <c r="B51" s="1">
        <v>43100</v>
      </c>
      <c r="C51" s="3">
        <v>3.11</v>
      </c>
      <c r="D51" s="1">
        <v>43465</v>
      </c>
      <c r="E51" s="3">
        <v>2.2400000000000002</v>
      </c>
      <c r="F51" s="4">
        <v>-0.27974276527331199</v>
      </c>
    </row>
    <row r="52" spans="1:6" x14ac:dyDescent="0.35">
      <c r="A52" s="2" t="s">
        <v>83</v>
      </c>
      <c r="B52" s="1">
        <v>43100</v>
      </c>
      <c r="C52" s="3">
        <v>3.1111</v>
      </c>
      <c r="D52" s="1">
        <v>43465</v>
      </c>
      <c r="E52" s="3">
        <v>3.9011110000000002</v>
      </c>
      <c r="F52" s="4">
        <v>0.253933014046479</v>
      </c>
    </row>
    <row r="53" spans="1:6" x14ac:dyDescent="0.35">
      <c r="A53" s="2" t="s">
        <v>139</v>
      </c>
      <c r="B53" s="1">
        <v>43100</v>
      </c>
      <c r="C53" s="3">
        <v>4.6500000000000004</v>
      </c>
      <c r="D53" s="1">
        <v>43465</v>
      </c>
      <c r="E53" s="3">
        <v>4.3</v>
      </c>
      <c r="F53" s="4">
        <v>-7.5268817204301203E-2</v>
      </c>
    </row>
    <row r="54" spans="1:6" x14ac:dyDescent="0.35">
      <c r="A54" s="2" t="s">
        <v>138</v>
      </c>
      <c r="B54" s="1">
        <v>43100</v>
      </c>
      <c r="C54" s="3">
        <v>16.437000000000001</v>
      </c>
      <c r="D54" s="1">
        <v>43465</v>
      </c>
      <c r="E54" s="3">
        <v>16.306577999999998</v>
      </c>
      <c r="F54" s="4">
        <v>-7.9346596094179694E-3</v>
      </c>
    </row>
    <row r="55" spans="1:6" x14ac:dyDescent="0.35">
      <c r="A55" s="2" t="s">
        <v>18</v>
      </c>
      <c r="B55" s="1">
        <v>43100</v>
      </c>
      <c r="C55" s="3">
        <v>24</v>
      </c>
      <c r="D55" s="1">
        <v>43465</v>
      </c>
      <c r="E55" s="3">
        <v>33.700001</v>
      </c>
      <c r="F55" s="4">
        <v>0.40416670833333301</v>
      </c>
    </row>
    <row r="56" spans="1:6" x14ac:dyDescent="0.35">
      <c r="A56" s="2" t="s">
        <v>22</v>
      </c>
      <c r="B56" s="1">
        <v>43100</v>
      </c>
      <c r="C56" s="3">
        <v>17.277200000000001</v>
      </c>
      <c r="D56" s="1">
        <v>43465</v>
      </c>
      <c r="E56" s="3">
        <v>12.255297000000001</v>
      </c>
      <c r="F56" s="4">
        <v>-0.29066648531012002</v>
      </c>
    </row>
    <row r="57" spans="1:6" x14ac:dyDescent="0.35">
      <c r="A57" s="2" t="s">
        <v>7</v>
      </c>
      <c r="B57" s="1">
        <v>43100</v>
      </c>
      <c r="C57" s="3">
        <v>9.1</v>
      </c>
      <c r="D57" s="1">
        <v>43465</v>
      </c>
      <c r="E57" s="3">
        <v>18.27</v>
      </c>
      <c r="F57" s="4">
        <v>1.0076923076923101</v>
      </c>
    </row>
    <row r="58" spans="1:6" x14ac:dyDescent="0.35">
      <c r="A58" s="2" t="s">
        <v>17</v>
      </c>
      <c r="B58" s="1">
        <v>43100</v>
      </c>
      <c r="C58" s="3">
        <v>13.1145</v>
      </c>
      <c r="D58" s="1">
        <v>43465</v>
      </c>
      <c r="E58" s="3">
        <v>14.894378</v>
      </c>
      <c r="F58" s="4">
        <v>0.13571832704258599</v>
      </c>
    </row>
    <row r="59" spans="1:6" x14ac:dyDescent="0.35">
      <c r="A59" s="2" t="s">
        <v>90</v>
      </c>
      <c r="B59" s="1">
        <v>43100</v>
      </c>
      <c r="C59" s="3">
        <v>1.2303999999999999</v>
      </c>
      <c r="D59" s="1">
        <v>43465</v>
      </c>
      <c r="E59" s="3">
        <v>1.7475000000000001</v>
      </c>
      <c r="F59" s="4">
        <v>0.42026983094928499</v>
      </c>
    </row>
    <row r="60" spans="1:6" x14ac:dyDescent="0.35">
      <c r="A60" s="2" t="s">
        <v>118</v>
      </c>
      <c r="B60" s="1">
        <v>43100</v>
      </c>
      <c r="C60" s="3">
        <v>3.53</v>
      </c>
      <c r="D60" s="1">
        <v>43465</v>
      </c>
      <c r="E60" s="3">
        <v>4.0199999999999996</v>
      </c>
      <c r="F60" s="4">
        <v>0.13881019830028299</v>
      </c>
    </row>
    <row r="61" spans="1:6" x14ac:dyDescent="0.35">
      <c r="A61" s="2" t="s">
        <v>127</v>
      </c>
      <c r="B61" s="1">
        <v>43100</v>
      </c>
      <c r="C61" s="3">
        <v>8.3972999999999995</v>
      </c>
      <c r="D61" s="1">
        <v>43465</v>
      </c>
      <c r="E61" s="3">
        <v>10.916497</v>
      </c>
      <c r="F61" s="4">
        <v>0.30000083360127699</v>
      </c>
    </row>
    <row r="62" spans="1:6" x14ac:dyDescent="0.35">
      <c r="A62" s="2" t="s">
        <v>4</v>
      </c>
      <c r="B62" s="1">
        <v>43465</v>
      </c>
      <c r="C62" s="3">
        <v>3.15</v>
      </c>
      <c r="D62" s="1">
        <v>43830</v>
      </c>
      <c r="E62" s="3">
        <v>4.95</v>
      </c>
      <c r="F62" s="4">
        <v>0.57142857142857195</v>
      </c>
    </row>
    <row r="63" spans="1:6" x14ac:dyDescent="0.35">
      <c r="A63" s="2" t="s">
        <v>5</v>
      </c>
      <c r="B63" s="1">
        <v>43465</v>
      </c>
      <c r="C63" s="3">
        <v>9.2644000000000002</v>
      </c>
      <c r="D63" s="1">
        <v>43830</v>
      </c>
      <c r="E63" s="3">
        <v>16.099194000000001</v>
      </c>
      <c r="F63" s="4">
        <v>0.73774815422477402</v>
      </c>
    </row>
    <row r="64" spans="1:6" x14ac:dyDescent="0.35">
      <c r="A64" s="2" t="s">
        <v>9</v>
      </c>
      <c r="B64" s="1">
        <v>43465</v>
      </c>
      <c r="C64" s="3">
        <v>5.4290000000000003</v>
      </c>
      <c r="D64" s="1">
        <v>43830</v>
      </c>
      <c r="E64" s="3">
        <v>9.9035290000000007</v>
      </c>
      <c r="F64" s="4">
        <v>0.82419027445201698</v>
      </c>
    </row>
    <row r="65" spans="1:6" x14ac:dyDescent="0.35">
      <c r="A65" s="2" t="s">
        <v>6</v>
      </c>
      <c r="B65" s="1">
        <v>43465</v>
      </c>
      <c r="C65" s="3">
        <v>11.2</v>
      </c>
      <c r="D65" s="1">
        <v>43830</v>
      </c>
      <c r="E65" s="3">
        <v>18.98</v>
      </c>
      <c r="F65" s="4">
        <v>0.69464285714285701</v>
      </c>
    </row>
    <row r="66" spans="1:6" x14ac:dyDescent="0.35">
      <c r="A66" s="2" t="s">
        <v>140</v>
      </c>
      <c r="B66" s="1">
        <v>43465</v>
      </c>
      <c r="C66" s="3">
        <v>17.7195</v>
      </c>
      <c r="D66" s="1">
        <v>43830</v>
      </c>
      <c r="E66" s="3">
        <v>16.715426999999998</v>
      </c>
      <c r="F66" s="4">
        <v>-5.6664860746635098E-2</v>
      </c>
    </row>
    <row r="67" spans="1:6" x14ac:dyDescent="0.35">
      <c r="A67" s="2" t="s">
        <v>142</v>
      </c>
      <c r="B67" s="1">
        <v>43465</v>
      </c>
      <c r="C67" s="3">
        <v>7.09</v>
      </c>
      <c r="D67" s="1">
        <v>43830</v>
      </c>
      <c r="E67" s="3">
        <v>8.4</v>
      </c>
      <c r="F67" s="4">
        <v>0.184767277856136</v>
      </c>
    </row>
    <row r="68" spans="1:6" x14ac:dyDescent="0.35">
      <c r="A68" s="2" t="s">
        <v>82</v>
      </c>
      <c r="B68" s="1">
        <v>43465</v>
      </c>
      <c r="C68" s="3">
        <v>32.5</v>
      </c>
      <c r="D68" s="1">
        <v>43830</v>
      </c>
      <c r="E68" s="3">
        <v>46.990001999999997</v>
      </c>
      <c r="F68" s="4">
        <v>0.445846215384615</v>
      </c>
    </row>
    <row r="69" spans="1:6" x14ac:dyDescent="0.35">
      <c r="A69" s="2" t="s">
        <v>141</v>
      </c>
      <c r="B69" s="1">
        <v>43465</v>
      </c>
      <c r="C69" s="3">
        <v>4.13</v>
      </c>
      <c r="D69" s="1">
        <v>43830</v>
      </c>
      <c r="E69" s="3">
        <v>6.3</v>
      </c>
      <c r="F69" s="4">
        <v>0.52542372881355903</v>
      </c>
    </row>
    <row r="70" spans="1:6" x14ac:dyDescent="0.35">
      <c r="A70" s="2" t="s">
        <v>7</v>
      </c>
      <c r="B70" s="1">
        <v>43465</v>
      </c>
      <c r="C70" s="3">
        <v>18.27</v>
      </c>
      <c r="D70" s="1">
        <v>43830</v>
      </c>
      <c r="E70" s="3">
        <v>36.93</v>
      </c>
      <c r="F70" s="4">
        <v>1.02134646962233</v>
      </c>
    </row>
    <row r="71" spans="1:6" x14ac:dyDescent="0.35">
      <c r="A71" s="2" t="s">
        <v>138</v>
      </c>
      <c r="B71" s="1">
        <v>43465</v>
      </c>
      <c r="C71" s="3">
        <v>16.3066</v>
      </c>
      <c r="D71" s="1">
        <v>43830</v>
      </c>
      <c r="E71" s="3">
        <v>19.646477000000001</v>
      </c>
      <c r="F71" s="4">
        <v>0.20481749720971901</v>
      </c>
    </row>
    <row r="72" spans="1:6" x14ac:dyDescent="0.35">
      <c r="A72" s="2" t="s">
        <v>17</v>
      </c>
      <c r="B72" s="1">
        <v>43465</v>
      </c>
      <c r="C72" s="3">
        <v>14.894399999999999</v>
      </c>
      <c r="D72" s="1">
        <v>43830</v>
      </c>
      <c r="E72" s="3">
        <v>22.763069000000002</v>
      </c>
      <c r="F72" s="4">
        <v>0.52829714523579296</v>
      </c>
    </row>
    <row r="73" spans="1:6" x14ac:dyDescent="0.35">
      <c r="A73" s="2" t="s">
        <v>89</v>
      </c>
      <c r="B73" s="1">
        <v>43465</v>
      </c>
      <c r="C73" s="3">
        <v>15.61</v>
      </c>
      <c r="D73" s="1">
        <v>43830</v>
      </c>
      <c r="E73" s="3">
        <v>19.02</v>
      </c>
      <c r="F73" s="4">
        <v>0.218449711723254</v>
      </c>
    </row>
    <row r="74" spans="1:6" x14ac:dyDescent="0.35">
      <c r="A74" s="2" t="s">
        <v>14</v>
      </c>
      <c r="B74" s="1">
        <v>43465</v>
      </c>
      <c r="C74" s="3">
        <v>7.01</v>
      </c>
      <c r="D74" s="1">
        <v>43830</v>
      </c>
      <c r="E74" s="3">
        <v>14.12</v>
      </c>
      <c r="F74" s="4">
        <v>1.0142653352353801</v>
      </c>
    </row>
    <row r="75" spans="1:6" x14ac:dyDescent="0.35">
      <c r="A75" s="2" t="s">
        <v>10</v>
      </c>
      <c r="B75" s="1">
        <v>43465</v>
      </c>
      <c r="C75" s="3">
        <v>2.2400000000000002</v>
      </c>
      <c r="D75" s="1">
        <v>43830</v>
      </c>
      <c r="E75" s="3">
        <v>10.19</v>
      </c>
      <c r="F75" s="4">
        <v>3.5491071428571401</v>
      </c>
    </row>
    <row r="76" spans="1:6" x14ac:dyDescent="0.35">
      <c r="A76" s="2" t="s">
        <v>144</v>
      </c>
      <c r="B76" s="1">
        <v>43465</v>
      </c>
      <c r="C76" s="3">
        <v>6.5</v>
      </c>
      <c r="D76" s="1">
        <v>43830</v>
      </c>
      <c r="E76" s="3">
        <v>8.9</v>
      </c>
      <c r="F76" s="4">
        <v>0.36923076923076897</v>
      </c>
    </row>
    <row r="77" spans="1:6" x14ac:dyDescent="0.35">
      <c r="A77" s="2" t="s">
        <v>164</v>
      </c>
      <c r="B77" s="1">
        <v>43465</v>
      </c>
      <c r="C77" s="3">
        <v>28.200500000000002</v>
      </c>
      <c r="D77" s="1">
        <v>43830</v>
      </c>
      <c r="E77" s="3">
        <v>47.187778000000002</v>
      </c>
      <c r="F77" s="4">
        <v>0.67329579262779005</v>
      </c>
    </row>
    <row r="78" spans="1:6" x14ac:dyDescent="0.35">
      <c r="A78" s="2" t="s">
        <v>45</v>
      </c>
      <c r="B78" s="1">
        <v>43465</v>
      </c>
      <c r="C78" s="3">
        <v>8.89</v>
      </c>
      <c r="D78" s="1">
        <v>43830</v>
      </c>
      <c r="E78" s="3">
        <v>8.3699999999999992</v>
      </c>
      <c r="F78" s="4">
        <v>-5.8492688413948397E-2</v>
      </c>
    </row>
    <row r="79" spans="1:6" x14ac:dyDescent="0.35">
      <c r="A79" s="2" t="s">
        <v>19</v>
      </c>
      <c r="B79" s="1">
        <v>43465</v>
      </c>
      <c r="C79" s="3">
        <v>26.564299999999999</v>
      </c>
      <c r="D79" s="1">
        <v>43830</v>
      </c>
      <c r="E79" s="3">
        <v>29.586777000000001</v>
      </c>
      <c r="F79" s="4">
        <v>0.113779659166626</v>
      </c>
    </row>
    <row r="80" spans="1:6" x14ac:dyDescent="0.35">
      <c r="A80" s="2" t="s">
        <v>18</v>
      </c>
      <c r="B80" s="1">
        <v>43465</v>
      </c>
      <c r="C80" s="3">
        <v>33.700000000000003</v>
      </c>
      <c r="D80" s="1">
        <v>43830</v>
      </c>
      <c r="E80" s="3">
        <v>43</v>
      </c>
      <c r="F80" s="4">
        <v>0.27596439169139497</v>
      </c>
    </row>
    <row r="81" spans="1:6" x14ac:dyDescent="0.35">
      <c r="A81" s="2" t="s">
        <v>16</v>
      </c>
      <c r="B81" s="1">
        <v>43465</v>
      </c>
      <c r="C81" s="3">
        <v>8.3650000000000002</v>
      </c>
      <c r="D81" s="1">
        <v>43830</v>
      </c>
      <c r="E81" s="3">
        <v>17.392499999999998</v>
      </c>
      <c r="F81" s="4">
        <v>1.0791990436341901</v>
      </c>
    </row>
    <row r="82" spans="1:6" x14ac:dyDescent="0.35">
      <c r="A82" s="2" t="s">
        <v>4</v>
      </c>
      <c r="B82" s="1">
        <v>43830</v>
      </c>
      <c r="C82" s="3">
        <v>4.95</v>
      </c>
      <c r="D82" s="1">
        <v>44196</v>
      </c>
      <c r="E82" s="3">
        <v>5.38</v>
      </c>
      <c r="F82" s="4">
        <v>8.6868686868686804E-2</v>
      </c>
    </row>
    <row r="83" spans="1:6" x14ac:dyDescent="0.35">
      <c r="A83" s="2" t="s">
        <v>35</v>
      </c>
      <c r="B83" s="1">
        <v>43830</v>
      </c>
      <c r="C83" s="3">
        <v>21.463899999999999</v>
      </c>
      <c r="D83" s="1">
        <v>44196</v>
      </c>
      <c r="E83" s="3">
        <v>28.649607</v>
      </c>
      <c r="F83" s="4">
        <v>0.33478105097396099</v>
      </c>
    </row>
    <row r="84" spans="1:6" x14ac:dyDescent="0.35">
      <c r="A84" s="2" t="s">
        <v>24</v>
      </c>
      <c r="B84" s="1">
        <v>43830</v>
      </c>
      <c r="C84" s="3">
        <v>29.549600000000002</v>
      </c>
      <c r="D84" s="1">
        <v>44196</v>
      </c>
      <c r="E84" s="3">
        <v>34.940372000000004</v>
      </c>
      <c r="F84" s="4">
        <v>0.18243130194655799</v>
      </c>
    </row>
    <row r="85" spans="1:6" x14ac:dyDescent="0.35">
      <c r="A85" s="2" t="s">
        <v>56</v>
      </c>
      <c r="B85" s="1">
        <v>43830</v>
      </c>
      <c r="C85" s="3">
        <v>11.768599999999999</v>
      </c>
      <c r="D85" s="1">
        <v>44196</v>
      </c>
      <c r="E85" s="3">
        <v>9.9373430000000003</v>
      </c>
      <c r="F85" s="4">
        <v>-0.155605339632582</v>
      </c>
    </row>
    <row r="86" spans="1:6" x14ac:dyDescent="0.35">
      <c r="A86" s="2" t="s">
        <v>28</v>
      </c>
      <c r="B86" s="1">
        <v>43830</v>
      </c>
      <c r="C86" s="3">
        <v>25.8</v>
      </c>
      <c r="D86" s="1">
        <v>44196</v>
      </c>
      <c r="E86" s="3">
        <v>23.66</v>
      </c>
      <c r="F86" s="4">
        <v>-8.2945736434108505E-2</v>
      </c>
    </row>
    <row r="87" spans="1:6" x14ac:dyDescent="0.35">
      <c r="A87" s="2" t="s">
        <v>145</v>
      </c>
      <c r="B87" s="1">
        <v>43830</v>
      </c>
      <c r="C87" s="3">
        <v>6.48</v>
      </c>
      <c r="D87" s="1">
        <v>44196</v>
      </c>
      <c r="E87" s="3">
        <v>8.125</v>
      </c>
      <c r="F87" s="4">
        <v>0.25385802469135799</v>
      </c>
    </row>
    <row r="88" spans="1:6" x14ac:dyDescent="0.35">
      <c r="A88" s="2" t="s">
        <v>7</v>
      </c>
      <c r="B88" s="1">
        <v>43830</v>
      </c>
      <c r="C88" s="3">
        <v>36.93</v>
      </c>
      <c r="D88" s="1">
        <v>44196</v>
      </c>
      <c r="E88" s="3">
        <v>75.410004000000001</v>
      </c>
      <c r="F88" s="4">
        <v>1.0419714053614899</v>
      </c>
    </row>
    <row r="89" spans="1:6" x14ac:dyDescent="0.35">
      <c r="A89" s="2" t="s">
        <v>5</v>
      </c>
      <c r="B89" s="1">
        <v>43830</v>
      </c>
      <c r="C89" s="3">
        <v>16.0992</v>
      </c>
      <c r="D89" s="1">
        <v>44196</v>
      </c>
      <c r="E89" s="3">
        <v>13.20529</v>
      </c>
      <c r="F89" s="4">
        <v>-0.17975489465315</v>
      </c>
    </row>
    <row r="90" spans="1:6" x14ac:dyDescent="0.35">
      <c r="A90" s="2" t="s">
        <v>9</v>
      </c>
      <c r="B90" s="1">
        <v>43830</v>
      </c>
      <c r="C90" s="3">
        <v>9.9034999999999993</v>
      </c>
      <c r="D90" s="1">
        <v>44196</v>
      </c>
      <c r="E90" s="3">
        <v>14.427731</v>
      </c>
      <c r="F90" s="4">
        <v>0.456831524208613</v>
      </c>
    </row>
    <row r="91" spans="1:6" x14ac:dyDescent="0.35">
      <c r="A91" s="2" t="s">
        <v>58</v>
      </c>
      <c r="B91" s="1">
        <v>43830</v>
      </c>
      <c r="C91" s="3">
        <v>4.5</v>
      </c>
      <c r="D91" s="1">
        <v>44196</v>
      </c>
      <c r="E91" s="3">
        <v>2.87</v>
      </c>
      <c r="F91" s="4">
        <v>-0.362222222222222</v>
      </c>
    </row>
    <row r="92" spans="1:6" x14ac:dyDescent="0.35">
      <c r="A92" s="2" t="s">
        <v>57</v>
      </c>
      <c r="B92" s="1">
        <v>43830</v>
      </c>
      <c r="C92" s="3">
        <v>6.5</v>
      </c>
      <c r="D92" s="1">
        <v>44196</v>
      </c>
      <c r="E92" s="3">
        <v>15.9975</v>
      </c>
      <c r="F92" s="4">
        <v>1.46115384615385</v>
      </c>
    </row>
    <row r="93" spans="1:6" x14ac:dyDescent="0.35">
      <c r="A93" s="2" t="s">
        <v>146</v>
      </c>
      <c r="B93" s="1">
        <v>43830</v>
      </c>
      <c r="C93" s="3">
        <v>10.25</v>
      </c>
      <c r="D93" s="1">
        <v>44196</v>
      </c>
      <c r="E93" s="3">
        <v>8.16</v>
      </c>
      <c r="F93" s="4">
        <v>-0.20390243902439001</v>
      </c>
    </row>
    <row r="94" spans="1:6" x14ac:dyDescent="0.35">
      <c r="A94" s="2" t="s">
        <v>141</v>
      </c>
      <c r="B94" s="1">
        <v>43830</v>
      </c>
      <c r="C94" s="3">
        <v>6.3</v>
      </c>
      <c r="D94" s="1">
        <v>44196</v>
      </c>
      <c r="E94" s="3">
        <v>5.45</v>
      </c>
      <c r="F94" s="4">
        <v>-0.134920634920635</v>
      </c>
    </row>
    <row r="95" spans="1:6" x14ac:dyDescent="0.35">
      <c r="A95" s="2" t="s">
        <v>60</v>
      </c>
      <c r="B95" s="1">
        <v>43830</v>
      </c>
      <c r="C95" s="3">
        <v>19.633299999999998</v>
      </c>
      <c r="D95" s="1">
        <v>44196</v>
      </c>
      <c r="E95" s="3">
        <v>21.799999</v>
      </c>
      <c r="F95" s="4">
        <v>0.11035837072728499</v>
      </c>
    </row>
    <row r="96" spans="1:6" x14ac:dyDescent="0.35">
      <c r="A96" s="2" t="s">
        <v>11</v>
      </c>
      <c r="B96" s="1">
        <v>43830</v>
      </c>
      <c r="C96" s="3">
        <v>26.41</v>
      </c>
      <c r="D96" s="1">
        <v>44196</v>
      </c>
      <c r="E96" s="3">
        <v>19.399999999999999</v>
      </c>
      <c r="F96" s="4">
        <v>-0.26542976145399499</v>
      </c>
    </row>
    <row r="97" spans="1:6" x14ac:dyDescent="0.35">
      <c r="A97" s="2" t="s">
        <v>25</v>
      </c>
      <c r="B97" s="1">
        <v>43830</v>
      </c>
      <c r="C97" s="3">
        <v>37.700000000000003</v>
      </c>
      <c r="D97" s="1">
        <v>44196</v>
      </c>
      <c r="E97" s="3">
        <v>29.629999000000002</v>
      </c>
      <c r="F97" s="4">
        <v>-0.214058381962865</v>
      </c>
    </row>
    <row r="98" spans="1:6" x14ac:dyDescent="0.35">
      <c r="A98" s="2" t="s">
        <v>59</v>
      </c>
      <c r="B98" s="1">
        <v>43830</v>
      </c>
      <c r="C98" s="3">
        <v>47.52</v>
      </c>
      <c r="D98" s="1">
        <v>44196</v>
      </c>
      <c r="E98" s="3">
        <v>43.759998000000003</v>
      </c>
      <c r="F98" s="4">
        <v>-7.9124621212121202E-2</v>
      </c>
    </row>
    <row r="99" spans="1:6" x14ac:dyDescent="0.35">
      <c r="A99" s="2" t="s">
        <v>14</v>
      </c>
      <c r="B99" s="1">
        <v>43830</v>
      </c>
      <c r="C99" s="3">
        <v>14.12</v>
      </c>
      <c r="D99" s="1">
        <v>44196</v>
      </c>
      <c r="E99" s="3">
        <v>8.0399999999999991</v>
      </c>
      <c r="F99" s="4">
        <v>-0.43059490084985802</v>
      </c>
    </row>
    <row r="100" spans="1:6" x14ac:dyDescent="0.35">
      <c r="A100" s="2" t="s">
        <v>16</v>
      </c>
      <c r="B100" s="1">
        <v>43830</v>
      </c>
      <c r="C100" s="3">
        <v>17.392499999999998</v>
      </c>
      <c r="D100" s="1">
        <v>44196</v>
      </c>
      <c r="E100" s="3">
        <v>18.932500999999998</v>
      </c>
      <c r="F100" s="4">
        <v>8.8543970102055405E-2</v>
      </c>
    </row>
    <row r="101" spans="1:6" x14ac:dyDescent="0.35">
      <c r="A101" s="2" t="s">
        <v>148</v>
      </c>
      <c r="B101" s="1">
        <v>43830</v>
      </c>
      <c r="C101" s="3">
        <v>19.084800000000001</v>
      </c>
      <c r="D101" s="1">
        <v>44196</v>
      </c>
      <c r="E101" s="3">
        <v>28.627175999999999</v>
      </c>
      <c r="F101" s="4">
        <v>0.49999874245472797</v>
      </c>
    </row>
    <row r="102" spans="1:6" x14ac:dyDescent="0.35">
      <c r="A102" s="2" t="s">
        <v>126</v>
      </c>
      <c r="B102" s="1">
        <v>44196</v>
      </c>
      <c r="C102" s="3">
        <v>5.79</v>
      </c>
      <c r="D102" s="1">
        <v>44561</v>
      </c>
      <c r="E102" s="3">
        <v>15.46</v>
      </c>
      <c r="F102" s="4">
        <v>1.6701208981001701</v>
      </c>
    </row>
    <row r="103" spans="1:6" x14ac:dyDescent="0.35">
      <c r="A103" s="2" t="s">
        <v>24</v>
      </c>
      <c r="B103" s="1">
        <v>44196</v>
      </c>
      <c r="C103" s="3">
        <v>34.940399999999997</v>
      </c>
      <c r="D103" s="1">
        <v>44561</v>
      </c>
      <c r="E103" s="3">
        <v>37.396178999999997</v>
      </c>
      <c r="F103" s="4">
        <v>7.0284799258165206E-2</v>
      </c>
    </row>
    <row r="104" spans="1:6" x14ac:dyDescent="0.35">
      <c r="A104" s="2" t="s">
        <v>29</v>
      </c>
      <c r="B104" s="1">
        <v>44196</v>
      </c>
      <c r="C104" s="3">
        <v>15.7</v>
      </c>
      <c r="D104" s="1">
        <v>44561</v>
      </c>
      <c r="E104" s="3">
        <v>12.74</v>
      </c>
      <c r="F104" s="4">
        <v>-0.18853503184713399</v>
      </c>
    </row>
    <row r="105" spans="1:6" x14ac:dyDescent="0.35">
      <c r="A105" s="2" t="s">
        <v>31</v>
      </c>
      <c r="B105" s="1">
        <v>44196</v>
      </c>
      <c r="C105" s="3">
        <v>10.18</v>
      </c>
      <c r="D105" s="1">
        <v>44561</v>
      </c>
      <c r="E105" s="3">
        <v>10.55</v>
      </c>
      <c r="F105" s="4">
        <v>3.6345776031434303E-2</v>
      </c>
    </row>
    <row r="106" spans="1:6" x14ac:dyDescent="0.35">
      <c r="A106" s="2" t="s">
        <v>71</v>
      </c>
      <c r="B106" s="1">
        <v>44196</v>
      </c>
      <c r="C106" s="3">
        <v>25.479500000000002</v>
      </c>
      <c r="D106" s="1">
        <v>44561</v>
      </c>
      <c r="E106" s="3">
        <v>16.964348000000001</v>
      </c>
      <c r="F106" s="4">
        <v>-0.33419619694264002</v>
      </c>
    </row>
    <row r="107" spans="1:6" x14ac:dyDescent="0.35">
      <c r="A107" s="2" t="s">
        <v>50</v>
      </c>
      <c r="B107" s="1">
        <v>44196</v>
      </c>
      <c r="C107" s="3">
        <v>35</v>
      </c>
      <c r="D107" s="1">
        <v>44561</v>
      </c>
      <c r="E107" s="3">
        <v>28.799999</v>
      </c>
      <c r="F107" s="4">
        <v>-0.17714288571428599</v>
      </c>
    </row>
    <row r="108" spans="1:6" x14ac:dyDescent="0.35">
      <c r="A108" s="2" t="s">
        <v>81</v>
      </c>
      <c r="B108" s="1">
        <v>44196</v>
      </c>
      <c r="C108" s="3">
        <v>11.343</v>
      </c>
      <c r="D108" s="1">
        <v>44561</v>
      </c>
      <c r="E108" s="3">
        <v>18.607437000000001</v>
      </c>
      <c r="F108" s="4">
        <v>0.64043348320550098</v>
      </c>
    </row>
    <row r="109" spans="1:6" x14ac:dyDescent="0.35">
      <c r="A109" s="2" t="s">
        <v>26</v>
      </c>
      <c r="B109" s="1">
        <v>44196</v>
      </c>
      <c r="C109" s="3">
        <v>5</v>
      </c>
      <c r="D109" s="1">
        <v>44561</v>
      </c>
      <c r="E109" s="3">
        <v>5</v>
      </c>
      <c r="F109" s="4">
        <v>0</v>
      </c>
    </row>
    <row r="110" spans="1:6" x14ac:dyDescent="0.35">
      <c r="A110" s="2" t="s">
        <v>19</v>
      </c>
      <c r="B110" s="1">
        <v>44196</v>
      </c>
      <c r="C110" s="3">
        <v>40.413200000000003</v>
      </c>
      <c r="D110" s="1">
        <v>44561</v>
      </c>
      <c r="E110" s="3">
        <v>85.289253000000002</v>
      </c>
      <c r="F110" s="4">
        <v>1.11043057713816</v>
      </c>
    </row>
    <row r="111" spans="1:6" x14ac:dyDescent="0.35">
      <c r="A111" s="2" t="s">
        <v>7</v>
      </c>
      <c r="B111" s="1">
        <v>44196</v>
      </c>
      <c r="C111" s="3">
        <v>75.41</v>
      </c>
      <c r="D111" s="1">
        <v>44561</v>
      </c>
      <c r="E111" s="3">
        <v>76</v>
      </c>
      <c r="F111" s="4">
        <v>7.8238960350087705E-3</v>
      </c>
    </row>
    <row r="112" spans="1:6" x14ac:dyDescent="0.35">
      <c r="A112" s="2" t="s">
        <v>127</v>
      </c>
      <c r="B112" s="1">
        <v>44196</v>
      </c>
      <c r="C112" s="3">
        <v>22.130700000000001</v>
      </c>
      <c r="D112" s="1">
        <v>44561</v>
      </c>
      <c r="E112" s="3">
        <v>70.339995999999999</v>
      </c>
      <c r="F112" s="4">
        <v>2.1783900192944601</v>
      </c>
    </row>
    <row r="113" spans="1:6" x14ac:dyDescent="0.35">
      <c r="A113" s="2" t="s">
        <v>106</v>
      </c>
      <c r="B113" s="1">
        <v>44196</v>
      </c>
      <c r="C113" s="3">
        <v>17.333300000000001</v>
      </c>
      <c r="D113" s="1">
        <v>44561</v>
      </c>
      <c r="E113" s="3">
        <v>28</v>
      </c>
      <c r="F113" s="4">
        <v>0.615387721899465</v>
      </c>
    </row>
    <row r="114" spans="1:6" x14ac:dyDescent="0.35">
      <c r="A114" s="2" t="s">
        <v>25</v>
      </c>
      <c r="B114" s="1">
        <v>44196</v>
      </c>
      <c r="C114" s="3">
        <v>29.63</v>
      </c>
      <c r="D114" s="1">
        <v>44561</v>
      </c>
      <c r="E114" s="3">
        <v>20.879999000000002</v>
      </c>
      <c r="F114" s="4">
        <v>-0.29530884238947003</v>
      </c>
    </row>
    <row r="115" spans="1:6" x14ac:dyDescent="0.35">
      <c r="A115" s="2" t="s">
        <v>149</v>
      </c>
      <c r="B115" s="1">
        <v>44196</v>
      </c>
      <c r="C115" s="3">
        <v>5.0999999999999996</v>
      </c>
      <c r="D115" s="1">
        <v>44561</v>
      </c>
      <c r="E115" s="3">
        <v>7.42</v>
      </c>
      <c r="F115" s="4">
        <v>0.454901960784314</v>
      </c>
    </row>
    <row r="116" spans="1:6" x14ac:dyDescent="0.35">
      <c r="A116" s="2" t="s">
        <v>146</v>
      </c>
      <c r="B116" s="1">
        <v>44196</v>
      </c>
      <c r="C116" s="3">
        <v>8.16</v>
      </c>
      <c r="D116" s="1">
        <v>44561</v>
      </c>
      <c r="E116" s="3">
        <v>7.9</v>
      </c>
      <c r="F116" s="4">
        <v>-3.18627450980392E-2</v>
      </c>
    </row>
    <row r="117" spans="1:6" x14ac:dyDescent="0.35">
      <c r="A117" s="2" t="s">
        <v>144</v>
      </c>
      <c r="B117" s="1">
        <v>44196</v>
      </c>
      <c r="C117" s="3">
        <v>9.0500000000000007</v>
      </c>
      <c r="D117" s="1">
        <v>44561</v>
      </c>
      <c r="E117" s="3">
        <v>7.31</v>
      </c>
      <c r="F117" s="4">
        <v>-0.19226519337016601</v>
      </c>
    </row>
    <row r="118" spans="1:6" x14ac:dyDescent="0.35">
      <c r="A118" s="2" t="s">
        <v>150</v>
      </c>
      <c r="B118" s="1">
        <v>44196</v>
      </c>
      <c r="C118" s="3">
        <v>6.86</v>
      </c>
      <c r="D118" s="1">
        <v>44561</v>
      </c>
      <c r="E118" s="3">
        <v>9.66</v>
      </c>
      <c r="F118" s="4">
        <v>0.40816326530612201</v>
      </c>
    </row>
    <row r="119" spans="1:6" x14ac:dyDescent="0.35">
      <c r="A119" s="2" t="s">
        <v>57</v>
      </c>
      <c r="B119" s="1">
        <v>44196</v>
      </c>
      <c r="C119" s="3">
        <v>15.9975</v>
      </c>
      <c r="D119" s="1">
        <v>44561</v>
      </c>
      <c r="E119" s="3">
        <v>20.497499000000001</v>
      </c>
      <c r="F119" s="4">
        <v>0.28129388967026098</v>
      </c>
    </row>
    <row r="120" spans="1:6" x14ac:dyDescent="0.35">
      <c r="A120" s="2" t="s">
        <v>35</v>
      </c>
      <c r="B120" s="1">
        <v>44196</v>
      </c>
      <c r="C120" s="3">
        <v>28.6496</v>
      </c>
      <c r="D120" s="1">
        <v>44561</v>
      </c>
      <c r="E120" s="3">
        <v>28.610001</v>
      </c>
      <c r="F120" s="4">
        <v>-1.38218334636431E-3</v>
      </c>
    </row>
    <row r="121" spans="1:6" x14ac:dyDescent="0.35">
      <c r="A121" s="2" t="s">
        <v>16</v>
      </c>
      <c r="B121" s="1">
        <v>44196</v>
      </c>
      <c r="C121" s="3">
        <v>18.932500000000001</v>
      </c>
      <c r="D121" s="1">
        <v>44561</v>
      </c>
      <c r="E121" s="3">
        <v>21.629999000000002</v>
      </c>
      <c r="F121" s="4">
        <v>0.14247980985078601</v>
      </c>
    </row>
    <row r="122" spans="1:6" x14ac:dyDescent="0.35">
      <c r="A122" s="2" t="s">
        <v>4</v>
      </c>
      <c r="B122" s="1">
        <v>44561</v>
      </c>
      <c r="C122" s="3">
        <v>6.27</v>
      </c>
      <c r="D122" s="1">
        <v>44926</v>
      </c>
      <c r="E122" s="3">
        <v>6.25</v>
      </c>
      <c r="F122" s="4">
        <v>-3.1897926634768502E-3</v>
      </c>
    </row>
    <row r="123" spans="1:6" x14ac:dyDescent="0.35">
      <c r="A123" s="2" t="s">
        <v>91</v>
      </c>
      <c r="B123" s="1">
        <v>44561</v>
      </c>
      <c r="C123" s="3">
        <v>26.65</v>
      </c>
      <c r="D123" s="1">
        <v>44926</v>
      </c>
      <c r="E123" s="3">
        <v>33.200001</v>
      </c>
      <c r="F123" s="4">
        <v>0.24577864915572201</v>
      </c>
    </row>
    <row r="124" spans="1:6" x14ac:dyDescent="0.35">
      <c r="A124" s="2" t="s">
        <v>21</v>
      </c>
      <c r="B124" s="1">
        <v>44561</v>
      </c>
      <c r="C124" s="3">
        <v>24.98</v>
      </c>
      <c r="D124" s="1">
        <v>44926</v>
      </c>
      <c r="E124" s="3">
        <v>29.719999000000001</v>
      </c>
      <c r="F124" s="4">
        <v>0.189751761409127</v>
      </c>
    </row>
    <row r="125" spans="1:6" x14ac:dyDescent="0.35">
      <c r="A125" s="2" t="s">
        <v>35</v>
      </c>
      <c r="B125" s="1">
        <v>44561</v>
      </c>
      <c r="C125" s="3">
        <v>28.61</v>
      </c>
      <c r="D125" s="1">
        <v>44926</v>
      </c>
      <c r="E125" s="3">
        <v>27.620000999999998</v>
      </c>
      <c r="F125" s="4">
        <v>-3.4603250611674199E-2</v>
      </c>
    </row>
    <row r="126" spans="1:6" x14ac:dyDescent="0.35">
      <c r="A126" s="2" t="s">
        <v>25</v>
      </c>
      <c r="B126" s="1">
        <v>44561</v>
      </c>
      <c r="C126" s="3">
        <v>20.88</v>
      </c>
      <c r="D126" s="1">
        <v>44926</v>
      </c>
      <c r="E126" s="3">
        <v>33.709999000000003</v>
      </c>
      <c r="F126" s="4">
        <v>0.61446355363984695</v>
      </c>
    </row>
    <row r="127" spans="1:6" x14ac:dyDescent="0.35">
      <c r="A127" s="2" t="s">
        <v>84</v>
      </c>
      <c r="B127" s="1">
        <v>44561</v>
      </c>
      <c r="C127" s="3">
        <v>11.43</v>
      </c>
      <c r="D127" s="1">
        <v>44926</v>
      </c>
      <c r="E127" s="3">
        <v>12.97</v>
      </c>
      <c r="F127" s="4">
        <v>0.134733158355206</v>
      </c>
    </row>
    <row r="128" spans="1:6" x14ac:dyDescent="0.35">
      <c r="A128" s="2" t="s">
        <v>81</v>
      </c>
      <c r="B128" s="1">
        <v>44561</v>
      </c>
      <c r="C128" s="3">
        <v>18.607399999999998</v>
      </c>
      <c r="D128" s="1">
        <v>44926</v>
      </c>
      <c r="E128" s="3">
        <v>21.322727</v>
      </c>
      <c r="F128" s="4">
        <v>0.14592726549652299</v>
      </c>
    </row>
    <row r="129" spans="1:6" x14ac:dyDescent="0.35">
      <c r="A129" s="2" t="s">
        <v>162</v>
      </c>
      <c r="B129" s="1">
        <v>44561</v>
      </c>
      <c r="C129" s="3">
        <v>6.98</v>
      </c>
      <c r="D129" s="1">
        <v>44926</v>
      </c>
      <c r="E129" s="3">
        <v>8.0500000000000007</v>
      </c>
      <c r="F129" s="4">
        <v>0.153295128939828</v>
      </c>
    </row>
    <row r="130" spans="1:6" x14ac:dyDescent="0.35">
      <c r="A130" s="2" t="s">
        <v>72</v>
      </c>
      <c r="B130" s="1">
        <v>44561</v>
      </c>
      <c r="C130" s="3">
        <v>7.7573999999999996</v>
      </c>
      <c r="D130" s="1">
        <v>44926</v>
      </c>
      <c r="E130" s="3">
        <v>8.5692299999999992</v>
      </c>
      <c r="F130" s="4">
        <v>0.104652331966896</v>
      </c>
    </row>
    <row r="131" spans="1:6" x14ac:dyDescent="0.35">
      <c r="A131" s="2" t="s">
        <v>151</v>
      </c>
      <c r="B131" s="1">
        <v>44561</v>
      </c>
      <c r="C131" s="3">
        <v>12.278</v>
      </c>
      <c r="D131" s="1">
        <v>44926</v>
      </c>
      <c r="E131" s="3">
        <v>8.26</v>
      </c>
      <c r="F131" s="4">
        <v>-0.32725199543899702</v>
      </c>
    </row>
    <row r="132" spans="1:6" x14ac:dyDescent="0.35">
      <c r="A132" s="2" t="s">
        <v>42</v>
      </c>
      <c r="B132" s="1">
        <v>44561</v>
      </c>
      <c r="C132" s="3">
        <v>11.85</v>
      </c>
      <c r="D132" s="1">
        <v>44926</v>
      </c>
      <c r="E132" s="3">
        <v>10.71</v>
      </c>
      <c r="F132" s="4">
        <v>-9.6202531645569495E-2</v>
      </c>
    </row>
    <row r="133" spans="1:6" x14ac:dyDescent="0.35">
      <c r="A133" s="2" t="s">
        <v>144</v>
      </c>
      <c r="B133" s="1">
        <v>44561</v>
      </c>
      <c r="C133" s="3">
        <v>7.31</v>
      </c>
      <c r="D133" s="1">
        <v>44926</v>
      </c>
      <c r="E133" s="3">
        <v>9.2899999999999991</v>
      </c>
      <c r="F133" s="4">
        <v>0.27086183310533501</v>
      </c>
    </row>
    <row r="134" spans="1:6" x14ac:dyDescent="0.35">
      <c r="A134" s="2" t="s">
        <v>57</v>
      </c>
      <c r="B134" s="1">
        <v>44561</v>
      </c>
      <c r="C134" s="3">
        <v>20.497499999999999</v>
      </c>
      <c r="D134" s="1">
        <v>44926</v>
      </c>
      <c r="E134" s="3">
        <v>20.497499000000001</v>
      </c>
      <c r="F134" s="4">
        <v>-4.8786437223391501E-8</v>
      </c>
    </row>
    <row r="135" spans="1:6" x14ac:dyDescent="0.35">
      <c r="A135" s="2" t="s">
        <v>52</v>
      </c>
      <c r="B135" s="1">
        <v>44561</v>
      </c>
      <c r="C135" s="3">
        <v>12.13</v>
      </c>
      <c r="D135" s="1">
        <v>44926</v>
      </c>
      <c r="E135" s="3">
        <v>11.65</v>
      </c>
      <c r="F135" s="4">
        <v>-3.9571310799670197E-2</v>
      </c>
    </row>
    <row r="136" spans="1:6" x14ac:dyDescent="0.35">
      <c r="A136" s="2" t="s">
        <v>128</v>
      </c>
      <c r="B136" s="1">
        <v>44561</v>
      </c>
      <c r="C136" s="3">
        <v>10.8</v>
      </c>
      <c r="D136" s="1">
        <v>44926</v>
      </c>
      <c r="E136" s="3">
        <v>8.2100000000000009</v>
      </c>
      <c r="F136" s="4">
        <v>-0.23981481481481501</v>
      </c>
    </row>
    <row r="137" spans="1:6" x14ac:dyDescent="0.35">
      <c r="A137" s="2" t="s">
        <v>119</v>
      </c>
      <c r="B137" s="1">
        <v>44561</v>
      </c>
      <c r="C137" s="3">
        <v>24.67</v>
      </c>
      <c r="D137" s="1">
        <v>44926</v>
      </c>
      <c r="E137" s="3">
        <v>13.35</v>
      </c>
      <c r="F137" s="4">
        <v>-0.45885691122821198</v>
      </c>
    </row>
    <row r="138" spans="1:6" x14ac:dyDescent="0.35">
      <c r="A138" s="2" t="s">
        <v>141</v>
      </c>
      <c r="B138" s="1">
        <v>44561</v>
      </c>
      <c r="C138" s="3">
        <v>4.83</v>
      </c>
      <c r="D138" s="1">
        <v>44926</v>
      </c>
      <c r="E138" s="3">
        <v>5.52</v>
      </c>
      <c r="F138" s="4">
        <v>0.14285714285714299</v>
      </c>
    </row>
    <row r="139" spans="1:6" x14ac:dyDescent="0.35">
      <c r="A139" s="2" t="s">
        <v>111</v>
      </c>
      <c r="B139" s="1">
        <v>44561</v>
      </c>
      <c r="C139" s="3">
        <v>7.6</v>
      </c>
      <c r="D139" s="1">
        <v>44926</v>
      </c>
      <c r="E139" s="3">
        <v>1.7</v>
      </c>
      <c r="F139" s="4">
        <v>-0.77631578947368396</v>
      </c>
    </row>
    <row r="140" spans="1:6" x14ac:dyDescent="0.35">
      <c r="A140" s="2" t="s">
        <v>43</v>
      </c>
      <c r="B140" s="1">
        <v>44561</v>
      </c>
      <c r="C140" s="3">
        <v>21.11</v>
      </c>
      <c r="D140" s="1">
        <v>44926</v>
      </c>
      <c r="E140" s="3">
        <v>15.55</v>
      </c>
      <c r="F140" s="4">
        <v>-0.26338228327806701</v>
      </c>
    </row>
    <row r="141" spans="1:6" x14ac:dyDescent="0.35">
      <c r="A141" s="2" t="s">
        <v>44</v>
      </c>
      <c r="B141" s="1">
        <v>44561</v>
      </c>
      <c r="C141" s="3">
        <v>14.78</v>
      </c>
      <c r="D141" s="1">
        <v>44926</v>
      </c>
      <c r="E141" s="3">
        <v>21.6</v>
      </c>
      <c r="F141" s="4">
        <v>0.461434370771313</v>
      </c>
    </row>
    <row r="142" spans="1:6" x14ac:dyDescent="0.35">
      <c r="A142" s="2" t="s">
        <v>4</v>
      </c>
      <c r="B142" s="1">
        <v>44926</v>
      </c>
      <c r="C142" s="3">
        <v>6.25</v>
      </c>
      <c r="D142" s="1">
        <v>45291</v>
      </c>
      <c r="E142" s="3">
        <v>8.5</v>
      </c>
      <c r="F142" s="4">
        <v>0.36</v>
      </c>
    </row>
    <row r="143" spans="1:6" x14ac:dyDescent="0.35">
      <c r="A143" s="2" t="s">
        <v>47</v>
      </c>
      <c r="B143" s="1">
        <v>44926</v>
      </c>
      <c r="C143" s="3">
        <v>46.28</v>
      </c>
      <c r="D143" s="1">
        <v>45291</v>
      </c>
      <c r="E143" s="3">
        <v>48.580002</v>
      </c>
      <c r="F143" s="4">
        <v>4.9697536732930002E-2</v>
      </c>
    </row>
    <row r="144" spans="1:6" x14ac:dyDescent="0.35">
      <c r="A144" s="2" t="s">
        <v>48</v>
      </c>
      <c r="B144" s="1">
        <v>44926</v>
      </c>
      <c r="C144" s="3">
        <v>22.43</v>
      </c>
      <c r="D144" s="1">
        <v>45291</v>
      </c>
      <c r="E144" s="3">
        <v>34.25</v>
      </c>
      <c r="F144" s="4">
        <v>0.52697280427998205</v>
      </c>
    </row>
    <row r="145" spans="1:6" x14ac:dyDescent="0.35">
      <c r="A145" s="2" t="s">
        <v>49</v>
      </c>
      <c r="B145" s="1">
        <v>44926</v>
      </c>
      <c r="C145" s="3">
        <v>5.15</v>
      </c>
      <c r="D145" s="1">
        <v>45291</v>
      </c>
      <c r="E145" s="3">
        <v>5.74</v>
      </c>
      <c r="F145" s="4">
        <v>0.114563106796116</v>
      </c>
    </row>
    <row r="146" spans="1:6" x14ac:dyDescent="0.35">
      <c r="A146" s="2" t="s">
        <v>144</v>
      </c>
      <c r="B146" s="1">
        <v>44926</v>
      </c>
      <c r="C146" s="3">
        <v>9.2899999999999991</v>
      </c>
      <c r="D146" s="1">
        <v>45291</v>
      </c>
      <c r="E146" s="3">
        <v>10.79</v>
      </c>
      <c r="F146" s="4">
        <v>0.16146393972012901</v>
      </c>
    </row>
    <row r="147" spans="1:6" x14ac:dyDescent="0.35">
      <c r="A147" s="2" t="s">
        <v>26</v>
      </c>
      <c r="B147" s="1">
        <v>44926</v>
      </c>
      <c r="C147" s="3">
        <v>5</v>
      </c>
      <c r="D147" s="1">
        <v>45291</v>
      </c>
      <c r="E147" s="3">
        <v>5</v>
      </c>
      <c r="F147" s="4">
        <v>0</v>
      </c>
    </row>
    <row r="148" spans="1:6" x14ac:dyDescent="0.35">
      <c r="A148" s="2" t="s">
        <v>141</v>
      </c>
      <c r="B148" s="1">
        <v>44926</v>
      </c>
      <c r="C148" s="3">
        <v>5.52</v>
      </c>
      <c r="D148" s="1">
        <v>45291</v>
      </c>
      <c r="E148" s="3">
        <v>9.5299999999999994</v>
      </c>
      <c r="F148" s="4">
        <v>0.72644927536231896</v>
      </c>
    </row>
    <row r="149" spans="1:6" x14ac:dyDescent="0.35">
      <c r="A149" s="2" t="s">
        <v>7</v>
      </c>
      <c r="B149" s="1">
        <v>44926</v>
      </c>
      <c r="C149" s="3">
        <v>67.989999999999995</v>
      </c>
      <c r="D149" s="1">
        <v>45291</v>
      </c>
      <c r="E149" s="3">
        <v>59</v>
      </c>
      <c r="F149" s="4">
        <v>-0.13222532725400801</v>
      </c>
    </row>
    <row r="150" spans="1:6" x14ac:dyDescent="0.35">
      <c r="A150" s="2" t="s">
        <v>154</v>
      </c>
      <c r="B150" s="1">
        <v>44926</v>
      </c>
      <c r="C150" s="3">
        <v>25.27</v>
      </c>
      <c r="D150" s="1">
        <v>45291</v>
      </c>
      <c r="E150" s="3">
        <v>21.690000999999999</v>
      </c>
      <c r="F150" s="4">
        <v>-0.14166992481203</v>
      </c>
    </row>
    <row r="151" spans="1:6" x14ac:dyDescent="0.35">
      <c r="A151" s="2" t="s">
        <v>153</v>
      </c>
      <c r="B151" s="1">
        <v>44926</v>
      </c>
      <c r="C151" s="3">
        <v>6.89</v>
      </c>
      <c r="D151" s="1">
        <v>45291</v>
      </c>
      <c r="E151" s="3">
        <v>11.62</v>
      </c>
      <c r="F151" s="4">
        <v>0.68650217706821504</v>
      </c>
    </row>
    <row r="152" spans="1:6" x14ac:dyDescent="0.35">
      <c r="A152" s="2" t="s">
        <v>31</v>
      </c>
      <c r="B152" s="1">
        <v>44926</v>
      </c>
      <c r="C152" s="3">
        <v>12.96</v>
      </c>
      <c r="D152" s="1">
        <v>45291</v>
      </c>
      <c r="E152" s="3">
        <v>7.47</v>
      </c>
      <c r="F152" s="4">
        <v>-0.42361111111111099</v>
      </c>
    </row>
    <row r="153" spans="1:6" x14ac:dyDescent="0.35">
      <c r="A153" s="2" t="s">
        <v>50</v>
      </c>
      <c r="B153" s="1">
        <v>44926</v>
      </c>
      <c r="C153" s="3">
        <v>22.5</v>
      </c>
      <c r="D153" s="1">
        <v>45291</v>
      </c>
      <c r="E153" s="3">
        <v>21</v>
      </c>
      <c r="F153" s="4">
        <v>-6.6666666666666596E-2</v>
      </c>
    </row>
    <row r="154" spans="1:6" x14ac:dyDescent="0.35">
      <c r="A154" s="2" t="s">
        <v>40</v>
      </c>
      <c r="B154" s="1">
        <v>44926</v>
      </c>
      <c r="C154" s="3">
        <v>25</v>
      </c>
      <c r="D154" s="1">
        <v>45291</v>
      </c>
      <c r="E154" s="3">
        <v>33.970001000000003</v>
      </c>
      <c r="F154" s="4">
        <v>0.35880003999999999</v>
      </c>
    </row>
    <row r="155" spans="1:6" x14ac:dyDescent="0.35">
      <c r="A155" s="2" t="s">
        <v>16</v>
      </c>
      <c r="B155" s="1">
        <v>44926</v>
      </c>
      <c r="C155" s="3">
        <v>17.12</v>
      </c>
      <c r="D155" s="1">
        <v>45291</v>
      </c>
      <c r="E155" s="3">
        <v>19.360001</v>
      </c>
      <c r="F155" s="4">
        <v>0.13084117990654201</v>
      </c>
    </row>
    <row r="156" spans="1:6" x14ac:dyDescent="0.35">
      <c r="A156" s="2" t="s">
        <v>39</v>
      </c>
      <c r="B156" s="1">
        <v>44926</v>
      </c>
      <c r="C156" s="3">
        <v>10.065</v>
      </c>
      <c r="D156" s="1">
        <v>45291</v>
      </c>
      <c r="E156" s="3">
        <v>10.93</v>
      </c>
      <c r="F156" s="4">
        <v>8.5941381023348196E-2</v>
      </c>
    </row>
    <row r="157" spans="1:6" x14ac:dyDescent="0.35">
      <c r="A157" s="2" t="s">
        <v>128</v>
      </c>
      <c r="B157" s="1">
        <v>44926</v>
      </c>
      <c r="C157" s="3">
        <v>8.2100000000000009</v>
      </c>
      <c r="D157" s="1">
        <v>45291</v>
      </c>
      <c r="E157" s="3">
        <v>12.8</v>
      </c>
      <c r="F157" s="4">
        <v>0.55907429963459199</v>
      </c>
    </row>
    <row r="158" spans="1:6" x14ac:dyDescent="0.35">
      <c r="A158" s="2" t="s">
        <v>25</v>
      </c>
      <c r="B158" s="1">
        <v>44926</v>
      </c>
      <c r="C158" s="3">
        <v>33.71</v>
      </c>
      <c r="D158" s="1">
        <v>45291</v>
      </c>
      <c r="E158" s="3">
        <v>33.650002000000001</v>
      </c>
      <c r="F158" s="4">
        <v>-1.7798279442301499E-3</v>
      </c>
    </row>
    <row r="159" spans="1:6" x14ac:dyDescent="0.35">
      <c r="A159" s="2" t="s">
        <v>29</v>
      </c>
      <c r="B159" s="1">
        <v>44926</v>
      </c>
      <c r="C159" s="3">
        <v>10</v>
      </c>
      <c r="D159" s="1">
        <v>45291</v>
      </c>
      <c r="E159" s="3">
        <v>11.52</v>
      </c>
      <c r="F159" s="4">
        <v>0.152</v>
      </c>
    </row>
    <row r="160" spans="1:6" x14ac:dyDescent="0.35">
      <c r="A160" s="2" t="s">
        <v>10</v>
      </c>
      <c r="B160" s="1">
        <v>44926</v>
      </c>
      <c r="C160" s="3">
        <v>9.39</v>
      </c>
      <c r="D160" s="1">
        <v>45291</v>
      </c>
      <c r="E160" s="3">
        <v>6.96</v>
      </c>
      <c r="F160" s="4">
        <v>-0.25878594249201298</v>
      </c>
    </row>
    <row r="161" spans="1:6" x14ac:dyDescent="0.35">
      <c r="A161" s="2" t="s">
        <v>37</v>
      </c>
      <c r="B161" s="1">
        <v>44926</v>
      </c>
      <c r="C161" s="3">
        <v>38.35</v>
      </c>
      <c r="D161" s="1">
        <v>45291</v>
      </c>
      <c r="E161" s="3">
        <v>53.439999</v>
      </c>
      <c r="F161" s="4">
        <v>0.39348106910039099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178D0-83C0-4D12-9108-73DED1FFAE32}">
  <sheetPr codeName="Sheet1"/>
  <dimension ref="A1:F161"/>
  <sheetViews>
    <sheetView workbookViewId="0">
      <selection sqref="A1:F161"/>
    </sheetView>
  </sheetViews>
  <sheetFormatPr defaultRowHeight="14.5" x14ac:dyDescent="0.35"/>
  <cols>
    <col min="1" max="1" width="8.90625" bestFit="1" customWidth="1"/>
    <col min="2" max="2" width="10.453125" bestFit="1" customWidth="1"/>
    <col min="3" max="3" width="14.08984375" bestFit="1" customWidth="1"/>
    <col min="4" max="4" width="10.453125" bestFit="1" customWidth="1"/>
    <col min="5" max="6" width="12.4531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t="s">
        <v>54</v>
      </c>
      <c r="F1" t="s">
        <v>55</v>
      </c>
    </row>
    <row r="2" spans="1:6" x14ac:dyDescent="0.35">
      <c r="A2" t="s">
        <v>72</v>
      </c>
      <c r="B2" s="1">
        <v>42369</v>
      </c>
      <c r="C2">
        <v>3.0289999999999999</v>
      </c>
      <c r="D2" s="1">
        <v>42735</v>
      </c>
      <c r="E2">
        <v>3.8096950000000001</v>
      </c>
      <c r="F2">
        <v>0.25774017827665902</v>
      </c>
    </row>
    <row r="3" spans="1:6" x14ac:dyDescent="0.35">
      <c r="A3" t="s">
        <v>35</v>
      </c>
      <c r="B3" s="1">
        <v>42369</v>
      </c>
      <c r="C3">
        <v>10.298400000000001</v>
      </c>
      <c r="D3" s="1">
        <v>42735</v>
      </c>
      <c r="E3">
        <v>7.9785329999999997</v>
      </c>
      <c r="F3">
        <v>-0.22526479841528799</v>
      </c>
    </row>
    <row r="4" spans="1:6" x14ac:dyDescent="0.35">
      <c r="A4" t="s">
        <v>15</v>
      </c>
      <c r="B4" s="1">
        <v>42369</v>
      </c>
      <c r="C4">
        <v>9.0692000000000004</v>
      </c>
      <c r="D4" s="1">
        <v>42735</v>
      </c>
      <c r="E4">
        <v>15.005598000000001</v>
      </c>
      <c r="F4">
        <v>0.65456688572310695</v>
      </c>
    </row>
    <row r="5" spans="1:6" x14ac:dyDescent="0.35">
      <c r="A5" t="s">
        <v>12</v>
      </c>
      <c r="B5" s="1">
        <v>42369</v>
      </c>
      <c r="C5">
        <v>17.850000000000001</v>
      </c>
      <c r="D5" s="1">
        <v>42735</v>
      </c>
      <c r="E5">
        <v>16.399999999999999</v>
      </c>
      <c r="F5">
        <v>-8.1232492997198993E-2</v>
      </c>
    </row>
    <row r="6" spans="1:6" x14ac:dyDescent="0.35">
      <c r="A6" t="s">
        <v>40</v>
      </c>
      <c r="B6" s="1">
        <v>42369</v>
      </c>
      <c r="C6">
        <v>15.957599999999999</v>
      </c>
      <c r="D6" s="1">
        <v>42735</v>
      </c>
      <c r="E6">
        <v>22.566666000000001</v>
      </c>
      <c r="F6">
        <v>0.41416416002406398</v>
      </c>
    </row>
    <row r="7" spans="1:6" x14ac:dyDescent="0.35">
      <c r="A7" t="s">
        <v>23</v>
      </c>
      <c r="B7" s="1">
        <v>42369</v>
      </c>
      <c r="C7">
        <v>6.4500000000000002E-2</v>
      </c>
      <c r="D7" s="1">
        <v>42735</v>
      </c>
      <c r="E7">
        <v>0.387903</v>
      </c>
      <c r="F7">
        <v>5.0140000000000002</v>
      </c>
    </row>
    <row r="8" spans="1:6" x14ac:dyDescent="0.35">
      <c r="A8" t="s">
        <v>37</v>
      </c>
      <c r="B8" s="1">
        <v>42369</v>
      </c>
      <c r="C8">
        <v>33.99</v>
      </c>
      <c r="D8" s="1">
        <v>42735</v>
      </c>
      <c r="E8">
        <v>36.400002000000001</v>
      </c>
      <c r="F8">
        <v>7.0903265666372395E-2</v>
      </c>
    </row>
    <row r="9" spans="1:6" x14ac:dyDescent="0.35">
      <c r="A9" t="s">
        <v>17</v>
      </c>
      <c r="B9" s="1">
        <v>42369</v>
      </c>
      <c r="C9">
        <v>6.8399000000000001</v>
      </c>
      <c r="D9" s="1">
        <v>42735</v>
      </c>
      <c r="E9">
        <v>10.867143</v>
      </c>
      <c r="F9">
        <v>0.58878682436877705</v>
      </c>
    </row>
    <row r="10" spans="1:6" x14ac:dyDescent="0.35">
      <c r="A10" t="s">
        <v>11</v>
      </c>
      <c r="B10" s="1">
        <v>42369</v>
      </c>
      <c r="C10">
        <v>7.37</v>
      </c>
      <c r="D10" s="1">
        <v>42735</v>
      </c>
      <c r="E10">
        <v>14.045</v>
      </c>
      <c r="F10">
        <v>0.90569877883310701</v>
      </c>
    </row>
    <row r="11" spans="1:6" x14ac:dyDescent="0.35">
      <c r="A11" t="s">
        <v>56</v>
      </c>
      <c r="B11" s="1">
        <v>42369</v>
      </c>
      <c r="C11">
        <v>7.3223000000000003</v>
      </c>
      <c r="D11" s="1">
        <v>42735</v>
      </c>
      <c r="E11">
        <v>6.224577</v>
      </c>
      <c r="F11">
        <v>-0.149915054013083</v>
      </c>
    </row>
    <row r="12" spans="1:6" x14ac:dyDescent="0.35">
      <c r="A12" t="s">
        <v>84</v>
      </c>
      <c r="B12" s="1">
        <v>42369</v>
      </c>
      <c r="C12">
        <v>1.66</v>
      </c>
      <c r="D12" s="1">
        <v>42735</v>
      </c>
      <c r="E12">
        <v>4.8</v>
      </c>
      <c r="F12">
        <v>1.8915662650602401</v>
      </c>
    </row>
    <row r="13" spans="1:6" x14ac:dyDescent="0.35">
      <c r="A13" t="s">
        <v>41</v>
      </c>
      <c r="B13" s="1">
        <v>42369</v>
      </c>
      <c r="C13">
        <v>14.13</v>
      </c>
      <c r="D13" s="1">
        <v>42735</v>
      </c>
      <c r="E13">
        <v>19.25</v>
      </c>
      <c r="F13">
        <v>0.36234961075725403</v>
      </c>
    </row>
    <row r="14" spans="1:6" x14ac:dyDescent="0.35">
      <c r="A14" t="s">
        <v>93</v>
      </c>
      <c r="B14" s="1">
        <v>42369</v>
      </c>
      <c r="C14">
        <v>5.75</v>
      </c>
      <c r="D14" s="1">
        <v>42735</v>
      </c>
      <c r="E14">
        <v>5.961538</v>
      </c>
      <c r="F14">
        <v>3.6789217391304203E-2</v>
      </c>
    </row>
    <row r="15" spans="1:6" x14ac:dyDescent="0.35">
      <c r="A15" t="s">
        <v>92</v>
      </c>
      <c r="B15" s="1">
        <v>42369</v>
      </c>
      <c r="C15">
        <v>6.7</v>
      </c>
      <c r="D15" s="1">
        <v>42735</v>
      </c>
      <c r="E15">
        <v>14.87</v>
      </c>
      <c r="F15">
        <v>1.21940298507463</v>
      </c>
    </row>
    <row r="16" spans="1:6" x14ac:dyDescent="0.35">
      <c r="A16" t="s">
        <v>21</v>
      </c>
      <c r="B16" s="1">
        <v>42369</v>
      </c>
      <c r="C16">
        <v>2.3003</v>
      </c>
      <c r="D16" s="1">
        <v>42735</v>
      </c>
      <c r="E16">
        <v>6.8456840000000003</v>
      </c>
      <c r="F16">
        <v>1.97599617441203</v>
      </c>
    </row>
    <row r="17" spans="1:6" x14ac:dyDescent="0.35">
      <c r="A17" t="s">
        <v>73</v>
      </c>
      <c r="B17" s="1">
        <v>42369</v>
      </c>
      <c r="C17">
        <v>1</v>
      </c>
      <c r="D17" s="1">
        <v>42735</v>
      </c>
      <c r="E17">
        <v>0.51</v>
      </c>
      <c r="F17">
        <v>-0.49</v>
      </c>
    </row>
    <row r="18" spans="1:6" x14ac:dyDescent="0.35">
      <c r="A18" t="s">
        <v>94</v>
      </c>
      <c r="B18" s="1">
        <v>42369</v>
      </c>
      <c r="C18">
        <v>6.8231000000000002</v>
      </c>
      <c r="D18" s="1">
        <v>42735</v>
      </c>
      <c r="E18">
        <v>11.767307000000001</v>
      </c>
      <c r="F18">
        <v>0.72462766191320604</v>
      </c>
    </row>
    <row r="19" spans="1:6" x14ac:dyDescent="0.35">
      <c r="A19" t="s">
        <v>95</v>
      </c>
      <c r="B19" s="1">
        <v>42369</v>
      </c>
      <c r="C19">
        <v>3.63</v>
      </c>
      <c r="D19" s="1">
        <v>42735</v>
      </c>
      <c r="E19">
        <v>5.5</v>
      </c>
      <c r="F19">
        <v>0.51515151515151503</v>
      </c>
    </row>
    <row r="20" spans="1:6" x14ac:dyDescent="0.35">
      <c r="A20" t="s">
        <v>97</v>
      </c>
      <c r="B20" s="1">
        <v>42369</v>
      </c>
      <c r="C20">
        <v>3.6905000000000001</v>
      </c>
      <c r="D20" s="1">
        <v>42735</v>
      </c>
      <c r="E20">
        <v>8.5714279999999992</v>
      </c>
      <c r="F20">
        <v>1.32256550602899</v>
      </c>
    </row>
    <row r="21" spans="1:6" x14ac:dyDescent="0.35">
      <c r="A21" t="s">
        <v>96</v>
      </c>
      <c r="B21" s="1">
        <v>42369</v>
      </c>
      <c r="C21">
        <v>4.6379999999999999</v>
      </c>
      <c r="D21" s="1">
        <v>42735</v>
      </c>
      <c r="E21">
        <v>6.1400110000000003</v>
      </c>
      <c r="F21">
        <v>0.32384885726606299</v>
      </c>
    </row>
    <row r="22" spans="1:6" x14ac:dyDescent="0.35">
      <c r="A22" t="s">
        <v>12</v>
      </c>
      <c r="B22" s="1">
        <v>42735</v>
      </c>
      <c r="C22">
        <v>16.399999999999999</v>
      </c>
      <c r="D22" s="1">
        <v>43100</v>
      </c>
      <c r="E22">
        <v>21.280000999999999</v>
      </c>
      <c r="F22">
        <v>0.29756103658536598</v>
      </c>
    </row>
    <row r="23" spans="1:6" x14ac:dyDescent="0.35">
      <c r="A23" t="s">
        <v>23</v>
      </c>
      <c r="B23" s="1">
        <v>42735</v>
      </c>
      <c r="C23">
        <v>0.38790000000000002</v>
      </c>
      <c r="D23" s="1">
        <v>43100</v>
      </c>
      <c r="E23">
        <v>2.344738</v>
      </c>
      <c r="F23">
        <v>5.0446970868780596</v>
      </c>
    </row>
    <row r="24" spans="1:6" x14ac:dyDescent="0.35">
      <c r="A24" t="s">
        <v>40</v>
      </c>
      <c r="B24" s="1">
        <v>42735</v>
      </c>
      <c r="C24">
        <v>22.566700000000001</v>
      </c>
      <c r="D24" s="1">
        <v>43100</v>
      </c>
      <c r="E24">
        <v>28.386665000000001</v>
      </c>
      <c r="F24">
        <v>0.25790057917196602</v>
      </c>
    </row>
    <row r="25" spans="1:6" x14ac:dyDescent="0.35">
      <c r="A25" t="s">
        <v>47</v>
      </c>
      <c r="B25" s="1">
        <v>42735</v>
      </c>
      <c r="C25">
        <v>10.119999999999999</v>
      </c>
      <c r="D25" s="1">
        <v>43100</v>
      </c>
      <c r="E25">
        <v>16.149999999999999</v>
      </c>
      <c r="F25">
        <v>0.59584980237154195</v>
      </c>
    </row>
    <row r="26" spans="1:6" x14ac:dyDescent="0.35">
      <c r="A26" t="s">
        <v>15</v>
      </c>
      <c r="B26" s="1">
        <v>42735</v>
      </c>
      <c r="C26">
        <v>15.005599999999999</v>
      </c>
      <c r="D26" s="1">
        <v>43100</v>
      </c>
      <c r="E26">
        <v>19.266670000000001</v>
      </c>
      <c r="F26">
        <v>0.283965319614011</v>
      </c>
    </row>
    <row r="27" spans="1:6" x14ac:dyDescent="0.35">
      <c r="A27" t="s">
        <v>28</v>
      </c>
      <c r="B27" s="1">
        <v>42735</v>
      </c>
      <c r="C27">
        <v>11.4</v>
      </c>
      <c r="D27" s="1">
        <v>43100</v>
      </c>
      <c r="E27">
        <v>9.81</v>
      </c>
      <c r="F27">
        <v>-0.139473684210526</v>
      </c>
    </row>
    <row r="28" spans="1:6" x14ac:dyDescent="0.35">
      <c r="A28" t="s">
        <v>72</v>
      </c>
      <c r="B28" s="1">
        <v>42735</v>
      </c>
      <c r="C28">
        <v>3.8096999999999999</v>
      </c>
      <c r="D28" s="1">
        <v>43100</v>
      </c>
      <c r="E28">
        <v>3.501884</v>
      </c>
      <c r="F28">
        <v>-8.0797963094206796E-2</v>
      </c>
    </row>
    <row r="29" spans="1:6" x14ac:dyDescent="0.35">
      <c r="A29" t="s">
        <v>37</v>
      </c>
      <c r="B29" s="1">
        <v>42735</v>
      </c>
      <c r="C29">
        <v>36.4</v>
      </c>
      <c r="D29" s="1">
        <v>43100</v>
      </c>
      <c r="E29">
        <v>41.200001</v>
      </c>
      <c r="F29">
        <v>0.13186815934065901</v>
      </c>
    </row>
    <row r="30" spans="1:6" x14ac:dyDescent="0.35">
      <c r="A30" t="s">
        <v>98</v>
      </c>
      <c r="B30" s="1">
        <v>42735</v>
      </c>
      <c r="C30">
        <v>2.99</v>
      </c>
      <c r="D30" s="1">
        <v>43100</v>
      </c>
      <c r="E30">
        <v>2.2000000000000002</v>
      </c>
      <c r="F30">
        <v>-0.26421404682274302</v>
      </c>
    </row>
    <row r="31" spans="1:6" x14ac:dyDescent="0.35">
      <c r="A31" t="s">
        <v>100</v>
      </c>
      <c r="B31" s="1">
        <v>42735</v>
      </c>
      <c r="C31">
        <v>4.29</v>
      </c>
      <c r="D31" s="1">
        <v>43100</v>
      </c>
      <c r="E31">
        <v>10.39</v>
      </c>
      <c r="F31">
        <v>1.4219114219114199</v>
      </c>
    </row>
    <row r="32" spans="1:6" x14ac:dyDescent="0.35">
      <c r="A32" t="s">
        <v>94</v>
      </c>
      <c r="B32" s="1">
        <v>42735</v>
      </c>
      <c r="C32">
        <v>11.767300000000001</v>
      </c>
      <c r="D32" s="1">
        <v>43100</v>
      </c>
      <c r="E32">
        <v>17.653846999999999</v>
      </c>
      <c r="F32">
        <v>0.50024619071494703</v>
      </c>
    </row>
    <row r="33" spans="1:6" x14ac:dyDescent="0.35">
      <c r="A33" t="s">
        <v>41</v>
      </c>
      <c r="B33" s="1">
        <v>42735</v>
      </c>
      <c r="C33">
        <v>19.25</v>
      </c>
      <c r="D33" s="1">
        <v>43100</v>
      </c>
      <c r="E33">
        <v>31</v>
      </c>
      <c r="F33">
        <v>0.61038961038961004</v>
      </c>
    </row>
    <row r="34" spans="1:6" x14ac:dyDescent="0.35">
      <c r="A34" t="s">
        <v>11</v>
      </c>
      <c r="B34" s="1">
        <v>42735</v>
      </c>
      <c r="C34">
        <v>14.045</v>
      </c>
      <c r="D34" s="1">
        <v>43100</v>
      </c>
      <c r="E34">
        <v>15.91</v>
      </c>
      <c r="F34">
        <v>0.13278746885012499</v>
      </c>
    </row>
    <row r="35" spans="1:6" x14ac:dyDescent="0.35">
      <c r="A35" t="s">
        <v>84</v>
      </c>
      <c r="B35" s="1">
        <v>42735</v>
      </c>
      <c r="C35">
        <v>4.8</v>
      </c>
      <c r="D35" s="1">
        <v>43100</v>
      </c>
      <c r="E35">
        <v>5.79</v>
      </c>
      <c r="F35">
        <v>0.20624999999999999</v>
      </c>
    </row>
    <row r="36" spans="1:6" x14ac:dyDescent="0.35">
      <c r="A36" t="s">
        <v>99</v>
      </c>
      <c r="B36" s="1">
        <v>42735</v>
      </c>
      <c r="C36">
        <v>13.33</v>
      </c>
      <c r="D36" s="1">
        <v>43100</v>
      </c>
      <c r="E36">
        <v>18.399999999999999</v>
      </c>
      <c r="F36">
        <v>0.38034508627156799</v>
      </c>
    </row>
    <row r="37" spans="1:6" x14ac:dyDescent="0.35">
      <c r="A37" t="s">
        <v>46</v>
      </c>
      <c r="B37" s="1">
        <v>42735</v>
      </c>
      <c r="C37">
        <v>0.43559999999999999</v>
      </c>
      <c r="D37" s="1">
        <v>43100</v>
      </c>
      <c r="E37">
        <v>1.6359999999999999</v>
      </c>
      <c r="F37">
        <v>2.7557392102846601</v>
      </c>
    </row>
    <row r="38" spans="1:6" x14ac:dyDescent="0.35">
      <c r="A38" t="s">
        <v>73</v>
      </c>
      <c r="B38" s="1">
        <v>42735</v>
      </c>
      <c r="C38">
        <v>0.51</v>
      </c>
      <c r="D38" s="1">
        <v>43100</v>
      </c>
      <c r="E38">
        <v>2.0099999999999998</v>
      </c>
      <c r="F38">
        <v>2.9411764705882302</v>
      </c>
    </row>
    <row r="39" spans="1:6" x14ac:dyDescent="0.35">
      <c r="A39" t="s">
        <v>97</v>
      </c>
      <c r="B39" s="1">
        <v>42735</v>
      </c>
      <c r="C39">
        <v>8.5714000000000006</v>
      </c>
      <c r="D39" s="1">
        <v>43100</v>
      </c>
      <c r="E39">
        <v>9.8253959999999996</v>
      </c>
      <c r="F39">
        <v>0.14630002100007</v>
      </c>
    </row>
    <row r="40" spans="1:6" x14ac:dyDescent="0.35">
      <c r="A40" t="s">
        <v>71</v>
      </c>
      <c r="B40" s="1">
        <v>42735</v>
      </c>
      <c r="C40">
        <v>16.808800000000002</v>
      </c>
      <c r="D40" s="1">
        <v>43100</v>
      </c>
      <c r="E40">
        <v>27.921863999999999</v>
      </c>
      <c r="F40">
        <v>0.66114559040502596</v>
      </c>
    </row>
    <row r="41" spans="1:6" x14ac:dyDescent="0.35">
      <c r="A41" t="s">
        <v>22</v>
      </c>
      <c r="B41" s="1">
        <v>42735</v>
      </c>
      <c r="C41">
        <v>15.7683</v>
      </c>
      <c r="D41" s="1">
        <v>43100</v>
      </c>
      <c r="E41">
        <v>17.277204999999999</v>
      </c>
      <c r="F41">
        <v>9.5692306716640196E-2</v>
      </c>
    </row>
    <row r="42" spans="1:6" x14ac:dyDescent="0.35">
      <c r="A42" t="s">
        <v>37</v>
      </c>
      <c r="B42" s="1">
        <v>43100</v>
      </c>
      <c r="C42">
        <v>41.2</v>
      </c>
      <c r="D42" s="1">
        <v>43465</v>
      </c>
      <c r="E42">
        <v>41.290000999999997</v>
      </c>
      <c r="F42">
        <v>2.1844902912620001E-3</v>
      </c>
    </row>
    <row r="43" spans="1:6" x14ac:dyDescent="0.35">
      <c r="A43" t="s">
        <v>23</v>
      </c>
      <c r="B43" s="1">
        <v>43100</v>
      </c>
      <c r="C43">
        <v>2.3447</v>
      </c>
      <c r="D43" s="1">
        <v>43465</v>
      </c>
      <c r="E43">
        <v>5.2924680000000004</v>
      </c>
      <c r="F43">
        <v>1.2572047596707501</v>
      </c>
    </row>
    <row r="44" spans="1:6" x14ac:dyDescent="0.35">
      <c r="A44" t="s">
        <v>6</v>
      </c>
      <c r="B44" s="1">
        <v>43100</v>
      </c>
      <c r="C44">
        <v>16.149999999999999</v>
      </c>
      <c r="D44" s="1">
        <v>43465</v>
      </c>
      <c r="E44">
        <v>11.2</v>
      </c>
      <c r="F44">
        <v>-0.30650154798761597</v>
      </c>
    </row>
    <row r="45" spans="1:6" x14ac:dyDescent="0.35">
      <c r="A45" t="s">
        <v>100</v>
      </c>
      <c r="B45" s="1">
        <v>43100</v>
      </c>
      <c r="C45">
        <v>10.39</v>
      </c>
      <c r="D45" s="1">
        <v>43465</v>
      </c>
      <c r="E45">
        <v>5.93</v>
      </c>
      <c r="F45">
        <v>-0.42925890279114498</v>
      </c>
    </row>
    <row r="46" spans="1:6" x14ac:dyDescent="0.35">
      <c r="A46" t="s">
        <v>12</v>
      </c>
      <c r="B46" s="1">
        <v>43100</v>
      </c>
      <c r="C46">
        <v>21.28</v>
      </c>
      <c r="D46" s="1">
        <v>43465</v>
      </c>
      <c r="E46">
        <v>15.38</v>
      </c>
      <c r="F46">
        <v>-0.27725563909774398</v>
      </c>
    </row>
    <row r="47" spans="1:6" x14ac:dyDescent="0.35">
      <c r="A47" t="s">
        <v>94</v>
      </c>
      <c r="B47" s="1">
        <v>43100</v>
      </c>
      <c r="C47">
        <v>17.6538</v>
      </c>
      <c r="D47" s="1">
        <v>43465</v>
      </c>
      <c r="E47">
        <v>10.990384000000001</v>
      </c>
      <c r="F47">
        <v>-0.37744938766724401</v>
      </c>
    </row>
    <row r="48" spans="1:6" x14ac:dyDescent="0.35">
      <c r="A48" t="s">
        <v>40</v>
      </c>
      <c r="B48" s="1">
        <v>43100</v>
      </c>
      <c r="C48">
        <v>28.386700000000001</v>
      </c>
      <c r="D48" s="1">
        <v>43465</v>
      </c>
      <c r="E48">
        <v>35.5</v>
      </c>
      <c r="F48">
        <v>0.25058566159504297</v>
      </c>
    </row>
    <row r="49" spans="1:6" x14ac:dyDescent="0.35">
      <c r="A49" t="s">
        <v>11</v>
      </c>
      <c r="B49" s="1">
        <v>43100</v>
      </c>
      <c r="C49">
        <v>15.91</v>
      </c>
      <c r="D49" s="1">
        <v>43465</v>
      </c>
      <c r="E49">
        <v>23.245000999999998</v>
      </c>
      <c r="F49">
        <v>0.46103086109365199</v>
      </c>
    </row>
    <row r="50" spans="1:6" x14ac:dyDescent="0.35">
      <c r="A50" t="s">
        <v>101</v>
      </c>
      <c r="B50" s="1">
        <v>43100</v>
      </c>
      <c r="C50">
        <v>12.97</v>
      </c>
      <c r="D50" s="1">
        <v>43465</v>
      </c>
      <c r="E50">
        <v>17</v>
      </c>
      <c r="F50">
        <v>0.31071703932151101</v>
      </c>
    </row>
    <row r="51" spans="1:6" x14ac:dyDescent="0.35">
      <c r="A51" t="s">
        <v>15</v>
      </c>
      <c r="B51" s="1">
        <v>43100</v>
      </c>
      <c r="C51">
        <v>19.2667</v>
      </c>
      <c r="D51" s="1">
        <v>43465</v>
      </c>
      <c r="E51">
        <v>24.198596999999999</v>
      </c>
      <c r="F51">
        <v>0.25598037027617598</v>
      </c>
    </row>
    <row r="52" spans="1:6" x14ac:dyDescent="0.35">
      <c r="A52" t="s">
        <v>72</v>
      </c>
      <c r="B52" s="1">
        <v>43100</v>
      </c>
      <c r="C52">
        <v>3.5019</v>
      </c>
      <c r="D52" s="1">
        <v>43465</v>
      </c>
      <c r="E52">
        <v>7.0649379999999997</v>
      </c>
      <c r="F52">
        <v>1.0174585225163499</v>
      </c>
    </row>
    <row r="53" spans="1:6" x14ac:dyDescent="0.35">
      <c r="A53" t="s">
        <v>8</v>
      </c>
      <c r="B53" s="1">
        <v>43100</v>
      </c>
      <c r="C53">
        <v>20</v>
      </c>
      <c r="D53" s="1">
        <v>43465</v>
      </c>
      <c r="E53">
        <v>21.68</v>
      </c>
      <c r="F53">
        <v>8.4000000000000102E-2</v>
      </c>
    </row>
    <row r="54" spans="1:6" x14ac:dyDescent="0.35">
      <c r="A54" t="s">
        <v>41</v>
      </c>
      <c r="B54" s="1">
        <v>43100</v>
      </c>
      <c r="C54">
        <v>31</v>
      </c>
      <c r="D54" s="1">
        <v>43465</v>
      </c>
      <c r="E54">
        <v>12.89</v>
      </c>
      <c r="F54">
        <v>-0.58419354838709703</v>
      </c>
    </row>
    <row r="55" spans="1:6" x14ac:dyDescent="0.35">
      <c r="A55" t="s">
        <v>81</v>
      </c>
      <c r="B55" s="1">
        <v>43100</v>
      </c>
      <c r="C55">
        <v>5.5103</v>
      </c>
      <c r="D55" s="1">
        <v>43465</v>
      </c>
      <c r="E55">
        <v>8.6487599999999993</v>
      </c>
      <c r="F55">
        <v>0.56956245576465903</v>
      </c>
    </row>
    <row r="56" spans="1:6" x14ac:dyDescent="0.35">
      <c r="A56" t="s">
        <v>30</v>
      </c>
      <c r="B56" s="1">
        <v>43100</v>
      </c>
      <c r="C56">
        <v>3.0024999999999999</v>
      </c>
      <c r="D56" s="1">
        <v>43465</v>
      </c>
      <c r="E56">
        <v>2.1684830000000002</v>
      </c>
      <c r="F56">
        <v>-0.27777418817652</v>
      </c>
    </row>
    <row r="57" spans="1:6" x14ac:dyDescent="0.35">
      <c r="A57" t="s">
        <v>28</v>
      </c>
      <c r="B57" s="1">
        <v>43100</v>
      </c>
      <c r="C57">
        <v>9.81</v>
      </c>
      <c r="D57" s="1">
        <v>43465</v>
      </c>
      <c r="E57">
        <v>11.59</v>
      </c>
      <c r="F57">
        <v>0.18144750254841999</v>
      </c>
    </row>
    <row r="58" spans="1:6" x14ac:dyDescent="0.35">
      <c r="A58" t="s">
        <v>61</v>
      </c>
      <c r="B58" s="1">
        <v>43100</v>
      </c>
      <c r="C58">
        <v>149.38999999999999</v>
      </c>
      <c r="D58" s="1">
        <v>43465</v>
      </c>
      <c r="E58">
        <v>166.5</v>
      </c>
      <c r="F58">
        <v>0.114532431889685</v>
      </c>
    </row>
    <row r="59" spans="1:6" x14ac:dyDescent="0.35">
      <c r="A59" t="s">
        <v>33</v>
      </c>
      <c r="B59" s="1">
        <v>43100</v>
      </c>
      <c r="C59">
        <v>40.26</v>
      </c>
      <c r="D59" s="1">
        <v>43465</v>
      </c>
      <c r="E59">
        <v>51</v>
      </c>
      <c r="F59">
        <v>0.266766020864382</v>
      </c>
    </row>
    <row r="60" spans="1:6" x14ac:dyDescent="0.35">
      <c r="A60" t="s">
        <v>19</v>
      </c>
      <c r="B60" s="1">
        <v>43100</v>
      </c>
      <c r="C60">
        <v>10.8247</v>
      </c>
      <c r="D60" s="1">
        <v>43465</v>
      </c>
      <c r="E60">
        <v>26.564336999999998</v>
      </c>
      <c r="F60">
        <v>1.4540483339030199</v>
      </c>
    </row>
    <row r="61" spans="1:6" x14ac:dyDescent="0.35">
      <c r="A61" t="s">
        <v>71</v>
      </c>
      <c r="B61" s="1">
        <v>43100</v>
      </c>
      <c r="C61">
        <v>27.921900000000001</v>
      </c>
      <c r="D61" s="1">
        <v>43465</v>
      </c>
      <c r="E61">
        <v>18.652294000000001</v>
      </c>
      <c r="F61">
        <v>-0.33198335356834602</v>
      </c>
    </row>
    <row r="62" spans="1:6" x14ac:dyDescent="0.35">
      <c r="A62" t="s">
        <v>12</v>
      </c>
      <c r="B62" s="1">
        <v>43465</v>
      </c>
      <c r="C62">
        <v>15.38</v>
      </c>
      <c r="D62" s="1">
        <v>43830</v>
      </c>
      <c r="E62">
        <v>18.670000000000002</v>
      </c>
      <c r="F62">
        <v>0.21391417425227599</v>
      </c>
    </row>
    <row r="63" spans="1:6" x14ac:dyDescent="0.35">
      <c r="A63" t="s">
        <v>92</v>
      </c>
      <c r="B63" s="1">
        <v>43465</v>
      </c>
      <c r="C63">
        <v>22.68</v>
      </c>
      <c r="D63" s="1">
        <v>43830</v>
      </c>
      <c r="E63">
        <v>30.18</v>
      </c>
      <c r="F63">
        <v>0.33068783068783097</v>
      </c>
    </row>
    <row r="64" spans="1:6" x14ac:dyDescent="0.35">
      <c r="A64" t="s">
        <v>6</v>
      </c>
      <c r="B64" s="1">
        <v>43465</v>
      </c>
      <c r="C64">
        <v>11.2</v>
      </c>
      <c r="D64" s="1">
        <v>43830</v>
      </c>
      <c r="E64">
        <v>18.98</v>
      </c>
      <c r="F64">
        <v>0.69464285714285701</v>
      </c>
    </row>
    <row r="65" spans="1:6" x14ac:dyDescent="0.35">
      <c r="A65" t="s">
        <v>95</v>
      </c>
      <c r="B65" s="1">
        <v>43465</v>
      </c>
      <c r="C65">
        <v>8.9367000000000001</v>
      </c>
      <c r="D65" s="1">
        <v>43830</v>
      </c>
      <c r="E65">
        <v>14.323333</v>
      </c>
      <c r="F65">
        <v>0.60275414862309395</v>
      </c>
    </row>
    <row r="66" spans="1:6" x14ac:dyDescent="0.35">
      <c r="A66" t="s">
        <v>101</v>
      </c>
      <c r="B66" s="1">
        <v>43465</v>
      </c>
      <c r="C66">
        <v>17</v>
      </c>
      <c r="D66" s="1">
        <v>43830</v>
      </c>
      <c r="E66">
        <v>26.1</v>
      </c>
      <c r="F66">
        <v>0.53529411764705903</v>
      </c>
    </row>
    <row r="67" spans="1:6" x14ac:dyDescent="0.35">
      <c r="A67" t="s">
        <v>23</v>
      </c>
      <c r="B67" s="1">
        <v>43465</v>
      </c>
      <c r="C67">
        <v>5.2925000000000004</v>
      </c>
      <c r="D67" s="1">
        <v>43830</v>
      </c>
      <c r="E67">
        <v>11.153729999999999</v>
      </c>
      <c r="F67">
        <v>1.1074596126594201</v>
      </c>
    </row>
    <row r="68" spans="1:6" x14ac:dyDescent="0.35">
      <c r="A68" t="s">
        <v>37</v>
      </c>
      <c r="B68" s="1">
        <v>43465</v>
      </c>
      <c r="C68">
        <v>41.29</v>
      </c>
      <c r="D68" s="1">
        <v>43830</v>
      </c>
      <c r="E68">
        <v>49.040000999999997</v>
      </c>
      <c r="F68">
        <v>0.18769680310002401</v>
      </c>
    </row>
    <row r="69" spans="1:6" x14ac:dyDescent="0.35">
      <c r="A69" t="s">
        <v>15</v>
      </c>
      <c r="B69" s="1">
        <v>43465</v>
      </c>
      <c r="C69">
        <v>24.198599999999999</v>
      </c>
      <c r="D69" s="1">
        <v>43830</v>
      </c>
      <c r="E69">
        <v>27.175056000000001</v>
      </c>
      <c r="F69">
        <v>0.12300116535667401</v>
      </c>
    </row>
    <row r="70" spans="1:6" x14ac:dyDescent="0.35">
      <c r="A70" t="s">
        <v>102</v>
      </c>
      <c r="B70" s="1">
        <v>43465</v>
      </c>
      <c r="C70">
        <v>1.5</v>
      </c>
      <c r="D70" s="1">
        <v>43830</v>
      </c>
      <c r="E70">
        <v>0.62</v>
      </c>
      <c r="F70">
        <v>-0.586666666666667</v>
      </c>
    </row>
    <row r="71" spans="1:6" x14ac:dyDescent="0.35">
      <c r="A71" t="s">
        <v>96</v>
      </c>
      <c r="B71" s="1">
        <v>43465</v>
      </c>
      <c r="C71">
        <v>9.9189000000000007</v>
      </c>
      <c r="D71" s="1">
        <v>43830</v>
      </c>
      <c r="E71">
        <v>11.569292000000001</v>
      </c>
      <c r="F71">
        <v>0.166388611640404</v>
      </c>
    </row>
    <row r="72" spans="1:6" x14ac:dyDescent="0.35">
      <c r="A72" t="s">
        <v>100</v>
      </c>
      <c r="B72" s="1">
        <v>43465</v>
      </c>
      <c r="C72">
        <v>5.93</v>
      </c>
      <c r="D72" s="1">
        <v>43830</v>
      </c>
      <c r="E72">
        <v>3.25</v>
      </c>
      <c r="F72">
        <v>-0.45193929173693098</v>
      </c>
    </row>
    <row r="73" spans="1:6" x14ac:dyDescent="0.35">
      <c r="A73" t="s">
        <v>93</v>
      </c>
      <c r="B73" s="1">
        <v>43465</v>
      </c>
      <c r="C73">
        <v>8.77</v>
      </c>
      <c r="D73" s="1">
        <v>43830</v>
      </c>
      <c r="E73">
        <v>17.329999999999998</v>
      </c>
      <c r="F73">
        <v>0.97605473204104898</v>
      </c>
    </row>
    <row r="74" spans="1:6" x14ac:dyDescent="0.35">
      <c r="A74" t="s">
        <v>11</v>
      </c>
      <c r="B74" s="1">
        <v>43465</v>
      </c>
      <c r="C74">
        <v>23.245000000000001</v>
      </c>
      <c r="D74" s="1">
        <v>43830</v>
      </c>
      <c r="E74">
        <v>26.41</v>
      </c>
      <c r="F74">
        <v>0.136158313615831</v>
      </c>
    </row>
    <row r="75" spans="1:6" x14ac:dyDescent="0.35">
      <c r="A75" t="s">
        <v>40</v>
      </c>
      <c r="B75" s="1">
        <v>43465</v>
      </c>
      <c r="C75">
        <v>35.5</v>
      </c>
      <c r="D75" s="1">
        <v>43830</v>
      </c>
      <c r="E75">
        <v>37.099997999999999</v>
      </c>
      <c r="F75">
        <v>4.5070366197183201E-2</v>
      </c>
    </row>
    <row r="76" spans="1:6" x14ac:dyDescent="0.35">
      <c r="A76" t="s">
        <v>72</v>
      </c>
      <c r="B76" s="1">
        <v>43465</v>
      </c>
      <c r="C76">
        <v>7.0648999999999997</v>
      </c>
      <c r="D76" s="1">
        <v>43830</v>
      </c>
      <c r="E76">
        <v>7.0292560000000002</v>
      </c>
      <c r="F76">
        <v>-5.0452235700434401E-3</v>
      </c>
    </row>
    <row r="77" spans="1:6" x14ac:dyDescent="0.35">
      <c r="A77" t="s">
        <v>35</v>
      </c>
      <c r="B77" s="1">
        <v>43465</v>
      </c>
      <c r="C77">
        <v>9.0106999999999999</v>
      </c>
      <c r="D77" s="1">
        <v>43830</v>
      </c>
      <c r="E77">
        <v>21.463927999999999</v>
      </c>
      <c r="F77">
        <v>1.38204889742195</v>
      </c>
    </row>
    <row r="78" spans="1:6" x14ac:dyDescent="0.35">
      <c r="A78" t="s">
        <v>30</v>
      </c>
      <c r="B78" s="1">
        <v>43465</v>
      </c>
      <c r="C78">
        <v>2.1684999999999999</v>
      </c>
      <c r="D78" s="1">
        <v>43830</v>
      </c>
      <c r="E78">
        <v>1.46614</v>
      </c>
      <c r="F78">
        <v>-0.32389209130735502</v>
      </c>
    </row>
    <row r="79" spans="1:6" x14ac:dyDescent="0.35">
      <c r="A79" t="s">
        <v>38</v>
      </c>
      <c r="B79" s="1">
        <v>43465</v>
      </c>
      <c r="C79">
        <v>8.84</v>
      </c>
      <c r="D79" s="1">
        <v>43830</v>
      </c>
      <c r="E79">
        <v>14.11</v>
      </c>
      <c r="F79">
        <v>0.59615384615384603</v>
      </c>
    </row>
    <row r="80" spans="1:6" x14ac:dyDescent="0.35">
      <c r="A80" t="s">
        <v>99</v>
      </c>
      <c r="B80" s="1">
        <v>43465</v>
      </c>
      <c r="C80">
        <v>8.8699999999999992</v>
      </c>
      <c r="D80" s="1">
        <v>43830</v>
      </c>
      <c r="E80">
        <v>11.43</v>
      </c>
      <c r="F80">
        <v>0.28861330326944801</v>
      </c>
    </row>
    <row r="81" spans="1:6" x14ac:dyDescent="0.35">
      <c r="A81" t="s">
        <v>7</v>
      </c>
      <c r="B81" s="1">
        <v>43465</v>
      </c>
      <c r="C81">
        <v>18.27</v>
      </c>
      <c r="D81" s="1">
        <v>43830</v>
      </c>
      <c r="E81">
        <v>36.93</v>
      </c>
      <c r="F81">
        <v>1.02134646962233</v>
      </c>
    </row>
    <row r="82" spans="1:6" x14ac:dyDescent="0.35">
      <c r="A82" t="s">
        <v>37</v>
      </c>
      <c r="B82" s="1">
        <v>43830</v>
      </c>
      <c r="C82">
        <v>49.04</v>
      </c>
      <c r="D82" s="1">
        <v>44196</v>
      </c>
      <c r="E82">
        <v>46.5</v>
      </c>
      <c r="F82">
        <v>-5.1794453507340903E-2</v>
      </c>
    </row>
    <row r="83" spans="1:6" x14ac:dyDescent="0.35">
      <c r="A83" t="s">
        <v>28</v>
      </c>
      <c r="B83" s="1">
        <v>43830</v>
      </c>
      <c r="C83">
        <v>25.8</v>
      </c>
      <c r="D83" s="1">
        <v>44196</v>
      </c>
      <c r="E83">
        <v>23.66</v>
      </c>
      <c r="F83">
        <v>-8.2945736434108505E-2</v>
      </c>
    </row>
    <row r="84" spans="1:6" x14ac:dyDescent="0.35">
      <c r="A84" t="s">
        <v>23</v>
      </c>
      <c r="B84" s="1">
        <v>43830</v>
      </c>
      <c r="C84">
        <v>11.153700000000001</v>
      </c>
      <c r="D84" s="1">
        <v>44196</v>
      </c>
      <c r="E84">
        <v>23.336317000000001</v>
      </c>
      <c r="F84">
        <v>1.0922489398136901</v>
      </c>
    </row>
    <row r="85" spans="1:6" x14ac:dyDescent="0.35">
      <c r="A85" t="s">
        <v>104</v>
      </c>
      <c r="B85" s="1">
        <v>43830</v>
      </c>
      <c r="C85">
        <v>12.78</v>
      </c>
      <c r="D85" s="1">
        <v>44196</v>
      </c>
      <c r="E85">
        <v>15.26</v>
      </c>
      <c r="F85">
        <v>0.19405320813771501</v>
      </c>
    </row>
    <row r="86" spans="1:6" x14ac:dyDescent="0.35">
      <c r="A86" t="s">
        <v>103</v>
      </c>
      <c r="B86" s="1">
        <v>43830</v>
      </c>
      <c r="C86">
        <v>33.46</v>
      </c>
      <c r="D86" s="1">
        <v>44196</v>
      </c>
      <c r="E86">
        <v>33.459999000000003</v>
      </c>
      <c r="F86">
        <v>-2.9886431440751002E-8</v>
      </c>
    </row>
    <row r="87" spans="1:6" x14ac:dyDescent="0.35">
      <c r="A87" t="s">
        <v>92</v>
      </c>
      <c r="B87" s="1">
        <v>43830</v>
      </c>
      <c r="C87">
        <v>30.18</v>
      </c>
      <c r="D87" s="1">
        <v>44196</v>
      </c>
      <c r="E87">
        <v>28.34</v>
      </c>
      <c r="F87">
        <v>-6.0967528164347203E-2</v>
      </c>
    </row>
    <row r="88" spans="1:6" x14ac:dyDescent="0.35">
      <c r="A88" t="s">
        <v>35</v>
      </c>
      <c r="B88" s="1">
        <v>43830</v>
      </c>
      <c r="C88">
        <v>21.463899999999999</v>
      </c>
      <c r="D88" s="1">
        <v>44196</v>
      </c>
      <c r="E88">
        <v>28.649607</v>
      </c>
      <c r="F88">
        <v>0.33478105097396099</v>
      </c>
    </row>
    <row r="89" spans="1:6" x14ac:dyDescent="0.35">
      <c r="A89" t="s">
        <v>72</v>
      </c>
      <c r="B89" s="1">
        <v>43830</v>
      </c>
      <c r="C89">
        <v>7.0293000000000001</v>
      </c>
      <c r="D89" s="1">
        <v>44196</v>
      </c>
      <c r="E89">
        <v>7.727017</v>
      </c>
      <c r="F89">
        <v>9.9258389882349599E-2</v>
      </c>
    </row>
    <row r="90" spans="1:6" x14ac:dyDescent="0.35">
      <c r="A90" t="s">
        <v>38</v>
      </c>
      <c r="B90" s="1">
        <v>43830</v>
      </c>
      <c r="C90">
        <v>14.11</v>
      </c>
      <c r="D90" s="1">
        <v>44196</v>
      </c>
      <c r="E90">
        <v>31.85</v>
      </c>
      <c r="F90">
        <v>1.2572643515237401</v>
      </c>
    </row>
    <row r="91" spans="1:6" x14ac:dyDescent="0.35">
      <c r="A91" t="s">
        <v>65</v>
      </c>
      <c r="B91" s="1">
        <v>43830</v>
      </c>
      <c r="C91">
        <v>16</v>
      </c>
      <c r="D91" s="1">
        <v>44196</v>
      </c>
      <c r="E91">
        <v>11.85</v>
      </c>
      <c r="F91">
        <v>-0.25937500000000002</v>
      </c>
    </row>
    <row r="92" spans="1:6" x14ac:dyDescent="0.35">
      <c r="A92" t="s">
        <v>61</v>
      </c>
      <c r="B92" s="1">
        <v>43830</v>
      </c>
      <c r="C92">
        <v>170</v>
      </c>
      <c r="D92" s="1">
        <v>44196</v>
      </c>
      <c r="E92">
        <v>224.990005</v>
      </c>
      <c r="F92">
        <v>0.32347061764705898</v>
      </c>
    </row>
    <row r="93" spans="1:6" x14ac:dyDescent="0.35">
      <c r="A93" t="s">
        <v>30</v>
      </c>
      <c r="B93" s="1">
        <v>43830</v>
      </c>
      <c r="C93">
        <v>1.4661</v>
      </c>
      <c r="D93" s="1">
        <v>44196</v>
      </c>
      <c r="E93">
        <v>2.8269289999999998</v>
      </c>
      <c r="F93">
        <v>0.92819657594979899</v>
      </c>
    </row>
    <row r="94" spans="1:6" x14ac:dyDescent="0.35">
      <c r="A94" t="s">
        <v>105</v>
      </c>
      <c r="B94" s="1">
        <v>43830</v>
      </c>
      <c r="C94">
        <v>6.91</v>
      </c>
      <c r="D94" s="1">
        <v>44196</v>
      </c>
      <c r="E94">
        <v>7</v>
      </c>
      <c r="F94">
        <v>1.3024602026049201E-2</v>
      </c>
    </row>
    <row r="95" spans="1:6" x14ac:dyDescent="0.35">
      <c r="A95" t="s">
        <v>124</v>
      </c>
      <c r="B95" s="1">
        <v>43830</v>
      </c>
      <c r="C95">
        <v>9.7899999999999991</v>
      </c>
      <c r="D95" s="1">
        <v>44196</v>
      </c>
      <c r="E95">
        <v>6.23</v>
      </c>
      <c r="F95">
        <v>-0.36363636363636398</v>
      </c>
    </row>
    <row r="96" spans="1:6" x14ac:dyDescent="0.35">
      <c r="A96" t="s">
        <v>43</v>
      </c>
      <c r="B96" s="1">
        <v>43830</v>
      </c>
      <c r="C96">
        <v>30.07</v>
      </c>
      <c r="D96" s="1">
        <v>44196</v>
      </c>
      <c r="E96">
        <v>22.129999000000002</v>
      </c>
      <c r="F96">
        <v>-0.264050581975391</v>
      </c>
    </row>
    <row r="97" spans="1:6" x14ac:dyDescent="0.35">
      <c r="A97" t="s">
        <v>100</v>
      </c>
      <c r="B97" s="1">
        <v>43830</v>
      </c>
      <c r="C97">
        <v>3.25</v>
      </c>
      <c r="D97" s="1">
        <v>44196</v>
      </c>
      <c r="E97">
        <v>6.52</v>
      </c>
      <c r="F97">
        <v>1.00615384615385</v>
      </c>
    </row>
    <row r="98" spans="1:6" x14ac:dyDescent="0.35">
      <c r="A98" t="s">
        <v>94</v>
      </c>
      <c r="B98" s="1">
        <v>43830</v>
      </c>
      <c r="C98">
        <v>21.469200000000001</v>
      </c>
      <c r="D98" s="1">
        <v>44196</v>
      </c>
      <c r="E98">
        <v>24.076923000000001</v>
      </c>
      <c r="F98">
        <v>0.121463445307697</v>
      </c>
    </row>
    <row r="99" spans="1:6" x14ac:dyDescent="0.35">
      <c r="A99" t="s">
        <v>26</v>
      </c>
      <c r="B99" s="1">
        <v>43830</v>
      </c>
      <c r="C99">
        <v>5</v>
      </c>
      <c r="D99" s="1">
        <v>44196</v>
      </c>
      <c r="E99">
        <v>5</v>
      </c>
      <c r="F99">
        <v>0</v>
      </c>
    </row>
    <row r="100" spans="1:6" x14ac:dyDescent="0.35">
      <c r="A100" t="s">
        <v>44</v>
      </c>
      <c r="B100" s="1">
        <v>43830</v>
      </c>
      <c r="C100">
        <v>18.16</v>
      </c>
      <c r="D100" s="1">
        <v>44196</v>
      </c>
      <c r="E100">
        <v>11.1</v>
      </c>
      <c r="F100">
        <v>-0.38876651982378901</v>
      </c>
    </row>
    <row r="101" spans="1:6" x14ac:dyDescent="0.35">
      <c r="A101" t="s">
        <v>15</v>
      </c>
      <c r="B101" s="1">
        <v>43830</v>
      </c>
      <c r="C101">
        <v>27.1751</v>
      </c>
      <c r="D101" s="1">
        <v>44196</v>
      </c>
      <c r="E101">
        <v>22.429752000000001</v>
      </c>
      <c r="F101">
        <v>-0.17462117894690399</v>
      </c>
    </row>
    <row r="102" spans="1:6" x14ac:dyDescent="0.35">
      <c r="A102" t="s">
        <v>10</v>
      </c>
      <c r="B102" s="1">
        <v>44196</v>
      </c>
      <c r="C102">
        <v>5.0999999999999996</v>
      </c>
      <c r="D102" s="1">
        <v>44561</v>
      </c>
      <c r="E102">
        <v>11.09</v>
      </c>
      <c r="F102">
        <v>1.17450980392157</v>
      </c>
    </row>
    <row r="103" spans="1:6" x14ac:dyDescent="0.35">
      <c r="A103" t="s">
        <v>37</v>
      </c>
      <c r="B103" s="1">
        <v>44196</v>
      </c>
      <c r="C103">
        <v>46.5</v>
      </c>
      <c r="D103" s="1">
        <v>44561</v>
      </c>
      <c r="E103">
        <v>48.43</v>
      </c>
      <c r="F103">
        <v>4.1505376344085999E-2</v>
      </c>
    </row>
    <row r="104" spans="1:6" x14ac:dyDescent="0.35">
      <c r="A104" t="s">
        <v>107</v>
      </c>
      <c r="B104" s="1">
        <v>44196</v>
      </c>
      <c r="C104">
        <v>14.65</v>
      </c>
      <c r="D104" s="1">
        <v>44561</v>
      </c>
      <c r="E104">
        <v>12.93</v>
      </c>
      <c r="F104">
        <v>-0.11740614334471</v>
      </c>
    </row>
    <row r="105" spans="1:6" x14ac:dyDescent="0.35">
      <c r="A105" t="s">
        <v>36</v>
      </c>
      <c r="B105" s="1">
        <v>44196</v>
      </c>
      <c r="C105">
        <v>12.160600000000001</v>
      </c>
      <c r="D105" s="1">
        <v>44561</v>
      </c>
      <c r="E105">
        <v>14.490358000000001</v>
      </c>
      <c r="F105">
        <v>0.19158248770619901</v>
      </c>
    </row>
    <row r="106" spans="1:6" x14ac:dyDescent="0.35">
      <c r="A106" t="s">
        <v>44</v>
      </c>
      <c r="B106" s="1">
        <v>44196</v>
      </c>
      <c r="C106">
        <v>11.1</v>
      </c>
      <c r="D106" s="1">
        <v>44561</v>
      </c>
      <c r="E106">
        <v>14.78</v>
      </c>
      <c r="F106">
        <v>0.33153153153153198</v>
      </c>
    </row>
    <row r="107" spans="1:6" x14ac:dyDescent="0.35">
      <c r="A107" t="s">
        <v>109</v>
      </c>
      <c r="B107" s="1">
        <v>44196</v>
      </c>
      <c r="C107">
        <v>57</v>
      </c>
      <c r="D107" s="1">
        <v>44561</v>
      </c>
      <c r="E107">
        <v>57.439999</v>
      </c>
      <c r="F107">
        <v>7.7192807017543198E-3</v>
      </c>
    </row>
    <row r="108" spans="1:6" x14ac:dyDescent="0.35">
      <c r="A108" t="s">
        <v>99</v>
      </c>
      <c r="B108" s="1">
        <v>44196</v>
      </c>
      <c r="C108">
        <v>4.63</v>
      </c>
      <c r="D108" s="1">
        <v>44561</v>
      </c>
      <c r="E108">
        <v>2.4900000000000002</v>
      </c>
      <c r="F108">
        <v>-0.46220302375809902</v>
      </c>
    </row>
    <row r="109" spans="1:6" x14ac:dyDescent="0.35">
      <c r="A109" t="s">
        <v>15</v>
      </c>
      <c r="B109" s="1">
        <v>44196</v>
      </c>
      <c r="C109">
        <v>22.4298</v>
      </c>
      <c r="D109" s="1">
        <v>44561</v>
      </c>
      <c r="E109">
        <v>17.463636000000001</v>
      </c>
      <c r="F109">
        <v>-0.221409196693684</v>
      </c>
    </row>
    <row r="110" spans="1:6" x14ac:dyDescent="0.35">
      <c r="A110" t="s">
        <v>56</v>
      </c>
      <c r="B110" s="1">
        <v>44196</v>
      </c>
      <c r="C110">
        <v>9.9373000000000005</v>
      </c>
      <c r="D110" s="1">
        <v>44561</v>
      </c>
      <c r="E110">
        <v>21.73</v>
      </c>
      <c r="F110">
        <v>1.1867106759381301</v>
      </c>
    </row>
    <row r="111" spans="1:6" x14ac:dyDescent="0.35">
      <c r="A111" t="s">
        <v>108</v>
      </c>
      <c r="B111" s="1">
        <v>44196</v>
      </c>
      <c r="C111">
        <v>25</v>
      </c>
      <c r="D111" s="1">
        <v>44561</v>
      </c>
      <c r="E111">
        <v>15.94</v>
      </c>
      <c r="F111">
        <v>-0.3624</v>
      </c>
    </row>
    <row r="112" spans="1:6" x14ac:dyDescent="0.35">
      <c r="A112" t="s">
        <v>33</v>
      </c>
      <c r="B112" s="1">
        <v>44196</v>
      </c>
      <c r="C112">
        <v>87.45</v>
      </c>
      <c r="D112" s="1">
        <v>44561</v>
      </c>
      <c r="E112">
        <v>78.75</v>
      </c>
      <c r="F112">
        <v>-9.9485420240137304E-2</v>
      </c>
    </row>
    <row r="113" spans="1:6" x14ac:dyDescent="0.35">
      <c r="A113" t="s">
        <v>65</v>
      </c>
      <c r="B113" s="1">
        <v>44196</v>
      </c>
      <c r="C113">
        <v>11.85</v>
      </c>
      <c r="D113" s="1">
        <v>44561</v>
      </c>
      <c r="E113">
        <v>13.4</v>
      </c>
      <c r="F113">
        <v>0.13080168776371301</v>
      </c>
    </row>
    <row r="114" spans="1:6" x14ac:dyDescent="0.35">
      <c r="A114" t="s">
        <v>11</v>
      </c>
      <c r="B114" s="1">
        <v>44196</v>
      </c>
      <c r="C114">
        <v>19.399999999999999</v>
      </c>
      <c r="D114" s="1">
        <v>44561</v>
      </c>
      <c r="E114">
        <v>14.425000000000001</v>
      </c>
      <c r="F114">
        <v>-0.25644329896907198</v>
      </c>
    </row>
    <row r="115" spans="1:6" x14ac:dyDescent="0.35">
      <c r="A115" t="s">
        <v>30</v>
      </c>
      <c r="B115" s="1">
        <v>44196</v>
      </c>
      <c r="C115">
        <v>2.8269000000000002</v>
      </c>
      <c r="D115" s="1">
        <v>44561</v>
      </c>
      <c r="E115">
        <v>2.633785</v>
      </c>
      <c r="F115">
        <v>-6.8313346775619996E-2</v>
      </c>
    </row>
    <row r="116" spans="1:6" x14ac:dyDescent="0.35">
      <c r="A116" t="s">
        <v>92</v>
      </c>
      <c r="B116" s="1">
        <v>44196</v>
      </c>
      <c r="C116">
        <v>28.34</v>
      </c>
      <c r="D116" s="1">
        <v>44561</v>
      </c>
      <c r="E116">
        <v>28.5</v>
      </c>
      <c r="F116">
        <v>5.6457304163726203E-3</v>
      </c>
    </row>
    <row r="117" spans="1:6" x14ac:dyDescent="0.35">
      <c r="A117" t="s">
        <v>28</v>
      </c>
      <c r="B117" s="1">
        <v>44196</v>
      </c>
      <c r="C117">
        <v>23.66</v>
      </c>
      <c r="D117" s="1">
        <v>44561</v>
      </c>
      <c r="E117">
        <v>37.939999</v>
      </c>
      <c r="F117">
        <v>0.60355025359256098</v>
      </c>
    </row>
    <row r="118" spans="1:6" x14ac:dyDescent="0.35">
      <c r="A118" t="s">
        <v>38</v>
      </c>
      <c r="B118" s="1">
        <v>44196</v>
      </c>
      <c r="C118">
        <v>31.85</v>
      </c>
      <c r="D118" s="1">
        <v>44561</v>
      </c>
      <c r="E118">
        <v>25.15</v>
      </c>
      <c r="F118">
        <v>-0.210361067503925</v>
      </c>
    </row>
    <row r="119" spans="1:6" x14ac:dyDescent="0.35">
      <c r="A119" t="s">
        <v>72</v>
      </c>
      <c r="B119" s="1">
        <v>44196</v>
      </c>
      <c r="C119">
        <v>7.7270000000000003</v>
      </c>
      <c r="D119" s="1">
        <v>44561</v>
      </c>
      <c r="E119">
        <v>7.757396</v>
      </c>
      <c r="F119">
        <v>3.9337388378413198E-3</v>
      </c>
    </row>
    <row r="120" spans="1:6" x14ac:dyDescent="0.35">
      <c r="A120" t="s">
        <v>21</v>
      </c>
      <c r="B120" s="1">
        <v>44196</v>
      </c>
      <c r="C120">
        <v>29.369599999999998</v>
      </c>
      <c r="D120" s="1">
        <v>44561</v>
      </c>
      <c r="E120">
        <v>24.98</v>
      </c>
      <c r="F120">
        <v>-0.14946066681194201</v>
      </c>
    </row>
    <row r="121" spans="1:6" x14ac:dyDescent="0.35">
      <c r="A121" t="s">
        <v>40</v>
      </c>
      <c r="B121" s="1">
        <v>44196</v>
      </c>
      <c r="C121">
        <v>31.63</v>
      </c>
      <c r="D121" s="1">
        <v>44561</v>
      </c>
      <c r="E121">
        <v>21.059999000000001</v>
      </c>
      <c r="F121">
        <v>-0.33417644641163402</v>
      </c>
    </row>
    <row r="122" spans="1:6" x14ac:dyDescent="0.35">
      <c r="A122" t="s">
        <v>10</v>
      </c>
      <c r="B122" s="1">
        <v>44561</v>
      </c>
      <c r="C122">
        <v>11.09</v>
      </c>
      <c r="D122" s="1">
        <v>44926</v>
      </c>
      <c r="E122">
        <v>9.39</v>
      </c>
      <c r="F122">
        <v>-0.15329125338142499</v>
      </c>
    </row>
    <row r="123" spans="1:6" x14ac:dyDescent="0.35">
      <c r="A123" t="s">
        <v>92</v>
      </c>
      <c r="B123" s="1">
        <v>44561</v>
      </c>
      <c r="C123">
        <v>28.5</v>
      </c>
      <c r="D123" s="1">
        <v>44926</v>
      </c>
      <c r="E123">
        <v>24.5</v>
      </c>
      <c r="F123">
        <v>-0.140350877192982</v>
      </c>
    </row>
    <row r="124" spans="1:6" x14ac:dyDescent="0.35">
      <c r="A124" t="s">
        <v>11</v>
      </c>
      <c r="B124" s="1">
        <v>44561</v>
      </c>
      <c r="C124">
        <v>14.425000000000001</v>
      </c>
      <c r="D124" s="1">
        <v>44926</v>
      </c>
      <c r="E124">
        <v>17.364999999999998</v>
      </c>
      <c r="F124">
        <v>0.203812824956672</v>
      </c>
    </row>
    <row r="125" spans="1:6" x14ac:dyDescent="0.35">
      <c r="A125" t="s">
        <v>37</v>
      </c>
      <c r="B125" s="1">
        <v>44561</v>
      </c>
      <c r="C125">
        <v>48.43</v>
      </c>
      <c r="D125" s="1">
        <v>44926</v>
      </c>
      <c r="E125">
        <v>38.349997999999999</v>
      </c>
      <c r="F125">
        <v>-0.208135494528185</v>
      </c>
    </row>
    <row r="126" spans="1:6" x14ac:dyDescent="0.35">
      <c r="A126" t="s">
        <v>15</v>
      </c>
      <c r="B126" s="1">
        <v>44561</v>
      </c>
      <c r="C126">
        <v>17.4636</v>
      </c>
      <c r="D126" s="1">
        <v>44926</v>
      </c>
      <c r="E126">
        <v>15.15</v>
      </c>
      <c r="F126">
        <v>-0.132481275338418</v>
      </c>
    </row>
    <row r="127" spans="1:6" x14ac:dyDescent="0.35">
      <c r="A127" t="s">
        <v>28</v>
      </c>
      <c r="B127" s="1">
        <v>44561</v>
      </c>
      <c r="C127">
        <v>37.94</v>
      </c>
      <c r="D127" s="1">
        <v>44926</v>
      </c>
      <c r="E127">
        <v>21.99</v>
      </c>
      <c r="F127">
        <v>-0.42040063257775401</v>
      </c>
    </row>
    <row r="128" spans="1:6" x14ac:dyDescent="0.35">
      <c r="A128" t="s">
        <v>23</v>
      </c>
      <c r="B128" s="1">
        <v>44561</v>
      </c>
      <c r="C128">
        <v>6.7530000000000001</v>
      </c>
      <c r="D128" s="1">
        <v>44926</v>
      </c>
      <c r="E128">
        <v>2.5627849999999999</v>
      </c>
      <c r="F128">
        <v>-0.620496816229824</v>
      </c>
    </row>
    <row r="129" spans="1:6" x14ac:dyDescent="0.35">
      <c r="A129" t="s">
        <v>108</v>
      </c>
      <c r="B129" s="1">
        <v>44561</v>
      </c>
      <c r="C129">
        <v>15.94</v>
      </c>
      <c r="D129" s="1">
        <v>44926</v>
      </c>
      <c r="E129">
        <v>10.19</v>
      </c>
      <c r="F129">
        <v>-0.36072772898368899</v>
      </c>
    </row>
    <row r="130" spans="1:6" x14ac:dyDescent="0.35">
      <c r="A130" t="s">
        <v>61</v>
      </c>
      <c r="B130" s="1">
        <v>44561</v>
      </c>
      <c r="C130">
        <v>389.99</v>
      </c>
      <c r="D130" s="1">
        <v>44926</v>
      </c>
      <c r="E130">
        <v>477.47000100000002</v>
      </c>
      <c r="F130">
        <v>0.224313446498628</v>
      </c>
    </row>
    <row r="131" spans="1:6" x14ac:dyDescent="0.35">
      <c r="A131" t="s">
        <v>40</v>
      </c>
      <c r="B131" s="1">
        <v>44561</v>
      </c>
      <c r="C131">
        <v>21.06</v>
      </c>
      <c r="D131" s="1">
        <v>44926</v>
      </c>
      <c r="E131">
        <v>25</v>
      </c>
      <c r="F131">
        <v>0.18708452041785401</v>
      </c>
    </row>
    <row r="132" spans="1:6" x14ac:dyDescent="0.35">
      <c r="A132" t="s">
        <v>38</v>
      </c>
      <c r="B132" s="1">
        <v>44561</v>
      </c>
      <c r="C132">
        <v>25.15</v>
      </c>
      <c r="D132" s="1">
        <v>44926</v>
      </c>
      <c r="E132">
        <v>14.55</v>
      </c>
      <c r="F132">
        <v>-0.42147117296222703</v>
      </c>
    </row>
    <row r="133" spans="1:6" x14ac:dyDescent="0.35">
      <c r="A133" t="s">
        <v>104</v>
      </c>
      <c r="B133" s="1">
        <v>44561</v>
      </c>
      <c r="C133">
        <v>10.38</v>
      </c>
      <c r="D133" s="1">
        <v>44926</v>
      </c>
      <c r="E133">
        <v>5.08</v>
      </c>
      <c r="F133">
        <v>-0.51059730250481705</v>
      </c>
    </row>
    <row r="134" spans="1:6" x14ac:dyDescent="0.35">
      <c r="A134" t="s">
        <v>30</v>
      </c>
      <c r="B134" s="1">
        <v>44561</v>
      </c>
      <c r="C134">
        <v>2.6337999999999999</v>
      </c>
      <c r="D134" s="1">
        <v>44926</v>
      </c>
      <c r="E134">
        <v>2.48</v>
      </c>
      <c r="F134">
        <v>-5.8394714860657601E-2</v>
      </c>
    </row>
    <row r="135" spans="1:6" x14ac:dyDescent="0.35">
      <c r="A135" t="s">
        <v>98</v>
      </c>
      <c r="B135" s="1">
        <v>44561</v>
      </c>
      <c r="C135">
        <v>1.97</v>
      </c>
      <c r="D135" s="1">
        <v>44926</v>
      </c>
      <c r="E135">
        <v>1.1499999999999999</v>
      </c>
      <c r="F135">
        <v>-0.416243654822335</v>
      </c>
    </row>
    <row r="136" spans="1:6" x14ac:dyDescent="0.35">
      <c r="A136" t="s">
        <v>12</v>
      </c>
      <c r="B136" s="1">
        <v>44561</v>
      </c>
      <c r="C136">
        <v>15.46</v>
      </c>
      <c r="D136" s="1">
        <v>44926</v>
      </c>
      <c r="E136">
        <v>14.52</v>
      </c>
      <c r="F136">
        <v>-6.0802069857697302E-2</v>
      </c>
    </row>
    <row r="137" spans="1:6" x14ac:dyDescent="0.35">
      <c r="A137" t="s">
        <v>112</v>
      </c>
      <c r="B137" s="1">
        <v>44561</v>
      </c>
      <c r="C137">
        <v>7.6</v>
      </c>
      <c r="D137" s="1">
        <v>44926</v>
      </c>
      <c r="E137">
        <v>6.05</v>
      </c>
      <c r="F137">
        <v>-0.20394736842105299</v>
      </c>
    </row>
    <row r="138" spans="1:6" x14ac:dyDescent="0.35">
      <c r="A138" t="s">
        <v>72</v>
      </c>
      <c r="B138" s="1">
        <v>44561</v>
      </c>
      <c r="C138">
        <v>7.7573999999999996</v>
      </c>
      <c r="D138" s="1">
        <v>44926</v>
      </c>
      <c r="E138">
        <v>8.5692299999999992</v>
      </c>
      <c r="F138">
        <v>0.104652331966896</v>
      </c>
    </row>
    <row r="139" spans="1:6" x14ac:dyDescent="0.35">
      <c r="A139" t="s">
        <v>9</v>
      </c>
      <c r="B139" s="1">
        <v>44561</v>
      </c>
      <c r="C139">
        <v>21.944900000000001</v>
      </c>
      <c r="D139" s="1">
        <v>44926</v>
      </c>
      <c r="E139">
        <v>8.6506729999999994</v>
      </c>
      <c r="F139">
        <v>-0.605800299841877</v>
      </c>
    </row>
    <row r="140" spans="1:6" x14ac:dyDescent="0.35">
      <c r="A140" t="s">
        <v>41</v>
      </c>
      <c r="B140" s="1">
        <v>44561</v>
      </c>
      <c r="C140">
        <v>16.63</v>
      </c>
      <c r="D140" s="1">
        <v>44926</v>
      </c>
      <c r="E140">
        <v>5.87</v>
      </c>
      <c r="F140">
        <v>-0.64702345159350605</v>
      </c>
    </row>
    <row r="141" spans="1:6" x14ac:dyDescent="0.35">
      <c r="A141" t="s">
        <v>111</v>
      </c>
      <c r="B141" s="1">
        <v>44561</v>
      </c>
      <c r="C141">
        <v>7.6</v>
      </c>
      <c r="D141" s="1">
        <v>44926</v>
      </c>
      <c r="E141">
        <v>1.7</v>
      </c>
      <c r="F141">
        <v>-0.77631578947368396</v>
      </c>
    </row>
    <row r="142" spans="1:6" x14ac:dyDescent="0.35">
      <c r="A142" t="s">
        <v>92</v>
      </c>
      <c r="B142" s="1">
        <v>44926</v>
      </c>
      <c r="C142">
        <v>24.5</v>
      </c>
      <c r="D142" s="1">
        <v>45291</v>
      </c>
      <c r="E142">
        <v>37.240001999999997</v>
      </c>
      <c r="F142">
        <v>0.52000008163265299</v>
      </c>
    </row>
    <row r="143" spans="1:6" x14ac:dyDescent="0.35">
      <c r="A143" t="s">
        <v>23</v>
      </c>
      <c r="B143" s="1">
        <v>44926</v>
      </c>
      <c r="C143">
        <v>2.5628000000000002</v>
      </c>
      <c r="D143" s="1">
        <v>45291</v>
      </c>
      <c r="E143">
        <v>2.0202979999999999</v>
      </c>
      <c r="F143">
        <v>-0.211683315124083</v>
      </c>
    </row>
    <row r="144" spans="1:6" x14ac:dyDescent="0.35">
      <c r="A144" t="s">
        <v>104</v>
      </c>
      <c r="B144" s="1">
        <v>44926</v>
      </c>
      <c r="C144">
        <v>5.08</v>
      </c>
      <c r="D144" s="1">
        <v>45291</v>
      </c>
      <c r="E144">
        <v>4.45</v>
      </c>
      <c r="F144">
        <v>-0.124015748031496</v>
      </c>
    </row>
    <row r="145" spans="1:6" x14ac:dyDescent="0.35">
      <c r="A145" t="s">
        <v>98</v>
      </c>
      <c r="B145" s="1">
        <v>44926</v>
      </c>
      <c r="C145">
        <v>1.1499999999999999</v>
      </c>
      <c r="D145" s="1">
        <v>45291</v>
      </c>
      <c r="E145">
        <v>1.18</v>
      </c>
      <c r="F145">
        <v>2.6086956521739198E-2</v>
      </c>
    </row>
    <row r="146" spans="1:6" x14ac:dyDescent="0.35">
      <c r="A146" t="s">
        <v>15</v>
      </c>
      <c r="B146" s="1">
        <v>44926</v>
      </c>
      <c r="C146">
        <v>15.15</v>
      </c>
      <c r="D146" s="1">
        <v>45291</v>
      </c>
      <c r="E146">
        <v>17.09</v>
      </c>
      <c r="F146">
        <v>0.12805280528052801</v>
      </c>
    </row>
    <row r="147" spans="1:6" x14ac:dyDescent="0.35">
      <c r="A147" t="s">
        <v>40</v>
      </c>
      <c r="B147" s="1">
        <v>44926</v>
      </c>
      <c r="C147">
        <v>25</v>
      </c>
      <c r="D147" s="1">
        <v>45291</v>
      </c>
      <c r="E147">
        <v>33.970001000000003</v>
      </c>
      <c r="F147">
        <v>0.35880003999999999</v>
      </c>
    </row>
    <row r="148" spans="1:6" x14ac:dyDescent="0.35">
      <c r="A148" t="s">
        <v>11</v>
      </c>
      <c r="B148" s="1">
        <v>44926</v>
      </c>
      <c r="C148">
        <v>17.364999999999998</v>
      </c>
      <c r="D148" s="1">
        <v>45291</v>
      </c>
      <c r="E148">
        <v>27.695</v>
      </c>
      <c r="F148">
        <v>0.59487474805643603</v>
      </c>
    </row>
    <row r="149" spans="1:6" x14ac:dyDescent="0.35">
      <c r="A149" t="s">
        <v>10</v>
      </c>
      <c r="B149" s="1">
        <v>44926</v>
      </c>
      <c r="C149">
        <v>9.39</v>
      </c>
      <c r="D149" s="1">
        <v>45291</v>
      </c>
      <c r="E149">
        <v>6.96</v>
      </c>
      <c r="F149">
        <v>-0.25878594249201298</v>
      </c>
    </row>
    <row r="150" spans="1:6" x14ac:dyDescent="0.35">
      <c r="A150" t="s">
        <v>107</v>
      </c>
      <c r="B150" s="1">
        <v>44926</v>
      </c>
      <c r="C150">
        <v>12.4</v>
      </c>
      <c r="D150" s="1">
        <v>45291</v>
      </c>
      <c r="E150">
        <v>17.93</v>
      </c>
      <c r="F150">
        <v>0.445967741935484</v>
      </c>
    </row>
    <row r="151" spans="1:6" x14ac:dyDescent="0.35">
      <c r="A151" t="s">
        <v>38</v>
      </c>
      <c r="B151" s="1">
        <v>44926</v>
      </c>
      <c r="C151">
        <v>14.55</v>
      </c>
      <c r="D151" s="1">
        <v>45291</v>
      </c>
      <c r="E151">
        <v>19.66</v>
      </c>
      <c r="F151">
        <v>0.351202749140893</v>
      </c>
    </row>
    <row r="152" spans="1:6" x14ac:dyDescent="0.35">
      <c r="A152" t="s">
        <v>95</v>
      </c>
      <c r="B152" s="1">
        <v>44926</v>
      </c>
      <c r="C152">
        <v>13.21</v>
      </c>
      <c r="D152" s="1">
        <v>45291</v>
      </c>
      <c r="E152">
        <v>14.55</v>
      </c>
      <c r="F152">
        <v>0.10143830431491301</v>
      </c>
    </row>
    <row r="153" spans="1:6" x14ac:dyDescent="0.35">
      <c r="A153" t="s">
        <v>30</v>
      </c>
      <c r="B153" s="1">
        <v>44926</v>
      </c>
      <c r="C153">
        <v>2.48</v>
      </c>
      <c r="D153" s="1">
        <v>45291</v>
      </c>
      <c r="E153">
        <v>2.13</v>
      </c>
      <c r="F153">
        <v>-0.141129032258064</v>
      </c>
    </row>
    <row r="154" spans="1:6" x14ac:dyDescent="0.35">
      <c r="A154" t="s">
        <v>37</v>
      </c>
      <c r="B154" s="1">
        <v>44926</v>
      </c>
      <c r="C154">
        <v>38.35</v>
      </c>
      <c r="D154" s="1">
        <v>45291</v>
      </c>
      <c r="E154">
        <v>53.439999</v>
      </c>
      <c r="F154">
        <v>0.39348106910039099</v>
      </c>
    </row>
    <row r="155" spans="1:6" x14ac:dyDescent="0.35">
      <c r="A155" t="s">
        <v>113</v>
      </c>
      <c r="B155" s="1">
        <v>44926</v>
      </c>
      <c r="C155">
        <v>2.0299999999999998</v>
      </c>
      <c r="D155" s="1">
        <v>45291</v>
      </c>
      <c r="E155">
        <v>1.29</v>
      </c>
      <c r="F155">
        <v>-0.364532019704433</v>
      </c>
    </row>
    <row r="156" spans="1:6" x14ac:dyDescent="0.35">
      <c r="A156" t="s">
        <v>33</v>
      </c>
      <c r="B156" s="1">
        <v>44926</v>
      </c>
      <c r="C156">
        <v>88.88</v>
      </c>
      <c r="D156" s="1">
        <v>45291</v>
      </c>
      <c r="E156">
        <v>77.199996999999996</v>
      </c>
      <c r="F156">
        <v>-0.13141317506750699</v>
      </c>
    </row>
    <row r="157" spans="1:6" x14ac:dyDescent="0.35">
      <c r="A157" t="s">
        <v>111</v>
      </c>
      <c r="B157" s="1">
        <v>44926</v>
      </c>
      <c r="C157">
        <v>1.7</v>
      </c>
      <c r="D157" s="1">
        <v>45291</v>
      </c>
      <c r="E157">
        <v>0.64</v>
      </c>
      <c r="F157">
        <v>-0.623529411764706</v>
      </c>
    </row>
    <row r="158" spans="1:6" x14ac:dyDescent="0.35">
      <c r="A158" t="s">
        <v>9</v>
      </c>
      <c r="B158" s="1">
        <v>44926</v>
      </c>
      <c r="C158">
        <v>8.6507000000000005</v>
      </c>
      <c r="D158" s="1">
        <v>45291</v>
      </c>
      <c r="E158">
        <v>9.6999999999999993</v>
      </c>
      <c r="F158">
        <v>0.121296542476331</v>
      </c>
    </row>
    <row r="159" spans="1:6" x14ac:dyDescent="0.35">
      <c r="A159" t="s">
        <v>28</v>
      </c>
      <c r="B159" s="1">
        <v>44926</v>
      </c>
      <c r="C159">
        <v>21.99</v>
      </c>
      <c r="D159" s="1">
        <v>45291</v>
      </c>
      <c r="E159">
        <v>24.91</v>
      </c>
      <c r="F159">
        <v>0.132787630741246</v>
      </c>
    </row>
    <row r="160" spans="1:6" x14ac:dyDescent="0.35">
      <c r="A160" t="s">
        <v>72</v>
      </c>
      <c r="B160" s="1">
        <v>44926</v>
      </c>
      <c r="C160">
        <v>8.5692000000000004</v>
      </c>
      <c r="D160" s="1">
        <v>45291</v>
      </c>
      <c r="E160">
        <v>8.8307690000000001</v>
      </c>
      <c r="F160">
        <v>3.0524319656444001E-2</v>
      </c>
    </row>
    <row r="161" spans="1:6" x14ac:dyDescent="0.35">
      <c r="A161" t="s">
        <v>12</v>
      </c>
      <c r="B161" s="1">
        <v>44926</v>
      </c>
      <c r="C161">
        <v>14.52</v>
      </c>
      <c r="D161" s="1">
        <v>45291</v>
      </c>
      <c r="E161">
        <v>13.73</v>
      </c>
      <c r="F161">
        <v>-5.4407713498622501E-2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52323-52D2-4E72-A36F-23DAA4CCA245}">
  <dimension ref="A1:F161"/>
  <sheetViews>
    <sheetView topLeftCell="A2" workbookViewId="0">
      <selection sqref="A1:F161"/>
    </sheetView>
  </sheetViews>
  <sheetFormatPr defaultRowHeight="14.5" x14ac:dyDescent="0.35"/>
  <cols>
    <col min="1" max="1" width="8.90625" bestFit="1" customWidth="1"/>
    <col min="2" max="2" width="10.453125" bestFit="1" customWidth="1"/>
    <col min="3" max="3" width="14.08984375" bestFit="1" customWidth="1"/>
    <col min="4" max="4" width="10.453125" bestFit="1" customWidth="1"/>
    <col min="5" max="5" width="13.7265625" style="3" bestFit="1" customWidth="1"/>
    <col min="6" max="6" width="9.81640625" bestFit="1" customWidth="1"/>
  </cols>
  <sheetData>
    <row r="1" spans="1:6" x14ac:dyDescent="0.35">
      <c r="A1" t="s">
        <v>0</v>
      </c>
      <c r="B1" t="s">
        <v>1</v>
      </c>
      <c r="C1" t="s">
        <v>2</v>
      </c>
      <c r="D1" t="s">
        <v>3</v>
      </c>
      <c r="E1" s="3" t="s">
        <v>54</v>
      </c>
      <c r="F1" t="s">
        <v>55</v>
      </c>
    </row>
    <row r="2" spans="1:6" x14ac:dyDescent="0.35">
      <c r="A2" t="s">
        <v>105</v>
      </c>
      <c r="B2" s="1">
        <v>42369</v>
      </c>
      <c r="C2" s="3">
        <v>1.6</v>
      </c>
      <c r="D2" s="1">
        <v>42735</v>
      </c>
      <c r="E2" s="3">
        <v>1.9079999999999999</v>
      </c>
      <c r="F2" s="6">
        <v>0.1925</v>
      </c>
    </row>
    <row r="3" spans="1:6" x14ac:dyDescent="0.35">
      <c r="A3" t="s">
        <v>47</v>
      </c>
      <c r="B3" s="1">
        <v>42369</v>
      </c>
      <c r="C3" s="3">
        <v>8.4</v>
      </c>
      <c r="D3" s="1">
        <v>42735</v>
      </c>
      <c r="E3" s="3">
        <v>10.119999999999999</v>
      </c>
      <c r="F3" s="6">
        <v>0.20476190476190501</v>
      </c>
    </row>
    <row r="4" spans="1:6" x14ac:dyDescent="0.35">
      <c r="A4" t="s">
        <v>37</v>
      </c>
      <c r="B4" s="1">
        <v>42369</v>
      </c>
      <c r="C4" s="3">
        <v>33.99</v>
      </c>
      <c r="D4" s="1">
        <v>42735</v>
      </c>
      <c r="E4" s="3">
        <v>36.400002000000001</v>
      </c>
      <c r="F4" s="6">
        <v>7.0903265666372395E-2</v>
      </c>
    </row>
    <row r="5" spans="1:6" x14ac:dyDescent="0.35">
      <c r="A5" t="s">
        <v>35</v>
      </c>
      <c r="B5" s="1">
        <v>42369</v>
      </c>
      <c r="C5" s="3">
        <v>10.298400000000001</v>
      </c>
      <c r="D5" s="1">
        <v>42735</v>
      </c>
      <c r="E5" s="3">
        <v>7.9785329999999997</v>
      </c>
      <c r="F5" s="6">
        <v>-0.22526479841528799</v>
      </c>
    </row>
    <row r="6" spans="1:6" x14ac:dyDescent="0.35">
      <c r="A6" t="s">
        <v>46</v>
      </c>
      <c r="B6" s="1">
        <v>42369</v>
      </c>
      <c r="C6" s="3">
        <v>0.245</v>
      </c>
      <c r="D6" s="1">
        <v>42735</v>
      </c>
      <c r="E6" s="3">
        <v>0.43559999999999999</v>
      </c>
      <c r="F6" s="6">
        <v>0.77795918367346895</v>
      </c>
    </row>
    <row r="7" spans="1:6" x14ac:dyDescent="0.35">
      <c r="A7" t="s">
        <v>93</v>
      </c>
      <c r="B7" s="1">
        <v>42369</v>
      </c>
      <c r="C7" s="3">
        <v>5.75</v>
      </c>
      <c r="D7" s="1">
        <v>42735</v>
      </c>
      <c r="E7" s="3">
        <v>5.961538</v>
      </c>
      <c r="F7" s="6">
        <v>3.6789217391304203E-2</v>
      </c>
    </row>
    <row r="8" spans="1:6" x14ac:dyDescent="0.35">
      <c r="A8" t="s">
        <v>69</v>
      </c>
      <c r="B8" s="1">
        <v>42369</v>
      </c>
      <c r="C8" s="3">
        <v>360.00360000000001</v>
      </c>
      <c r="D8" s="1">
        <v>42735</v>
      </c>
      <c r="E8" s="3">
        <v>282.00280800000002</v>
      </c>
      <c r="F8" s="6">
        <v>-0.21666669999966701</v>
      </c>
    </row>
    <row r="9" spans="1:6" x14ac:dyDescent="0.35">
      <c r="A9" t="s">
        <v>60</v>
      </c>
      <c r="B9" s="1">
        <v>42369</v>
      </c>
      <c r="C9" s="3">
        <v>9.6667000000000005</v>
      </c>
      <c r="D9" s="1">
        <v>42735</v>
      </c>
      <c r="E9" s="3">
        <v>22.299665000000001</v>
      </c>
      <c r="F9" s="6">
        <v>1.3068539418829599</v>
      </c>
    </row>
    <row r="10" spans="1:6" x14ac:dyDescent="0.35">
      <c r="A10" t="s">
        <v>108</v>
      </c>
      <c r="B10" s="1">
        <v>42369</v>
      </c>
      <c r="C10" s="3">
        <v>2.9</v>
      </c>
      <c r="D10" s="1">
        <v>42735</v>
      </c>
      <c r="E10" s="3">
        <v>5.78</v>
      </c>
      <c r="F10" s="6">
        <v>0.99310344827586206</v>
      </c>
    </row>
    <row r="11" spans="1:6" x14ac:dyDescent="0.35">
      <c r="A11" t="s">
        <v>72</v>
      </c>
      <c r="B11" s="1">
        <v>42369</v>
      </c>
      <c r="C11" s="3">
        <v>3.0289999999999999</v>
      </c>
      <c r="D11" s="1">
        <v>42735</v>
      </c>
      <c r="E11" s="3">
        <v>3.8096950000000001</v>
      </c>
      <c r="F11" s="6">
        <v>0.25774017827665902</v>
      </c>
    </row>
    <row r="12" spans="1:6" x14ac:dyDescent="0.35">
      <c r="A12" t="s">
        <v>12</v>
      </c>
      <c r="B12" s="1">
        <v>42369</v>
      </c>
      <c r="C12" s="3">
        <v>17.850000000000001</v>
      </c>
      <c r="D12" s="1">
        <v>42735</v>
      </c>
      <c r="E12" s="3">
        <v>16.399999999999999</v>
      </c>
      <c r="F12" s="6">
        <v>-8.1232492997198993E-2</v>
      </c>
    </row>
    <row r="13" spans="1:6" x14ac:dyDescent="0.35">
      <c r="A13" t="s">
        <v>56</v>
      </c>
      <c r="B13" s="1">
        <v>42369</v>
      </c>
      <c r="C13" s="3">
        <v>7.3223000000000003</v>
      </c>
      <c r="D13" s="1">
        <v>42735</v>
      </c>
      <c r="E13" s="3">
        <v>6.224577</v>
      </c>
      <c r="F13" s="6">
        <v>-0.149915054013083</v>
      </c>
    </row>
    <row r="14" spans="1:6" x14ac:dyDescent="0.35">
      <c r="A14" t="s">
        <v>24</v>
      </c>
      <c r="B14" s="1">
        <v>42369</v>
      </c>
      <c r="C14" s="3">
        <v>9.0345999999999993</v>
      </c>
      <c r="D14" s="1">
        <v>42735</v>
      </c>
      <c r="E14" s="3">
        <v>16.521805000000001</v>
      </c>
      <c r="F14" s="6">
        <v>0.82872567684236198</v>
      </c>
    </row>
    <row r="15" spans="1:6" x14ac:dyDescent="0.35">
      <c r="A15" t="s">
        <v>94</v>
      </c>
      <c r="B15" s="1">
        <v>42369</v>
      </c>
      <c r="C15" s="3">
        <v>6.8231000000000002</v>
      </c>
      <c r="D15" s="1">
        <v>42735</v>
      </c>
      <c r="E15" s="3">
        <v>11.767307000000001</v>
      </c>
      <c r="F15" s="6">
        <v>0.72462766191320604</v>
      </c>
    </row>
    <row r="16" spans="1:6" x14ac:dyDescent="0.35">
      <c r="A16" t="s">
        <v>41</v>
      </c>
      <c r="B16" s="1">
        <v>42369</v>
      </c>
      <c r="C16" s="3">
        <v>14.13</v>
      </c>
      <c r="D16" s="1">
        <v>42735</v>
      </c>
      <c r="E16" s="3">
        <v>19.25</v>
      </c>
      <c r="F16" s="6">
        <v>0.36234961075725403</v>
      </c>
    </row>
    <row r="17" spans="1:6" x14ac:dyDescent="0.35">
      <c r="A17" t="s">
        <v>65</v>
      </c>
      <c r="B17" s="1">
        <v>42369</v>
      </c>
      <c r="C17" s="3">
        <v>5.83</v>
      </c>
      <c r="D17" s="1">
        <v>42735</v>
      </c>
      <c r="E17" s="3">
        <v>5.33</v>
      </c>
      <c r="F17" s="6">
        <v>-8.5763293310463201E-2</v>
      </c>
    </row>
    <row r="18" spans="1:6" x14ac:dyDescent="0.35">
      <c r="A18" t="s">
        <v>11</v>
      </c>
      <c r="B18" s="1">
        <v>42369</v>
      </c>
      <c r="C18" s="3">
        <v>7.37</v>
      </c>
      <c r="D18" s="1">
        <v>42735</v>
      </c>
      <c r="E18" s="3">
        <v>14.045</v>
      </c>
      <c r="F18" s="6">
        <v>0.90569877883310701</v>
      </c>
    </row>
    <row r="19" spans="1:6" x14ac:dyDescent="0.35">
      <c r="A19" t="s">
        <v>22</v>
      </c>
      <c r="B19" s="1">
        <v>42369</v>
      </c>
      <c r="C19" s="3">
        <v>13.9254</v>
      </c>
      <c r="D19" s="1">
        <v>42735</v>
      </c>
      <c r="E19" s="3">
        <v>15.768328</v>
      </c>
      <c r="F19" s="6">
        <v>0.13234291295043599</v>
      </c>
    </row>
    <row r="20" spans="1:6" x14ac:dyDescent="0.35">
      <c r="A20" t="s">
        <v>61</v>
      </c>
      <c r="B20" s="1">
        <v>42369</v>
      </c>
      <c r="C20" s="3">
        <v>137.01</v>
      </c>
      <c r="D20" s="1">
        <v>42735</v>
      </c>
      <c r="E20" s="3">
        <v>155</v>
      </c>
      <c r="F20" s="6">
        <v>0.13130428435880601</v>
      </c>
    </row>
    <row r="21" spans="1:6" x14ac:dyDescent="0.35">
      <c r="A21" t="s">
        <v>87</v>
      </c>
      <c r="B21" s="1">
        <v>42369</v>
      </c>
      <c r="C21" s="3">
        <v>1.7649999999999999</v>
      </c>
      <c r="D21" s="1">
        <v>42735</v>
      </c>
      <c r="E21" s="3">
        <v>1.94</v>
      </c>
      <c r="F21" s="6">
        <v>9.9150141643059603E-2</v>
      </c>
    </row>
    <row r="22" spans="1:6" x14ac:dyDescent="0.35">
      <c r="A22" t="s">
        <v>47</v>
      </c>
      <c r="B22" s="1">
        <v>42735</v>
      </c>
      <c r="C22" s="3">
        <v>10.119999999999999</v>
      </c>
      <c r="D22" s="1">
        <v>43100</v>
      </c>
      <c r="E22" s="3">
        <v>16.149999999999999</v>
      </c>
      <c r="F22" s="6">
        <v>0.59584980237154195</v>
      </c>
    </row>
    <row r="23" spans="1:6" x14ac:dyDescent="0.35">
      <c r="A23" t="s">
        <v>94</v>
      </c>
      <c r="B23" s="1">
        <v>42735</v>
      </c>
      <c r="C23" s="3">
        <v>11.767300000000001</v>
      </c>
      <c r="D23" s="1">
        <v>43100</v>
      </c>
      <c r="E23" s="3">
        <v>17.653846999999999</v>
      </c>
      <c r="F23" s="6">
        <v>0.50024619071494703</v>
      </c>
    </row>
    <row r="24" spans="1:6" x14ac:dyDescent="0.35">
      <c r="A24" t="s">
        <v>41</v>
      </c>
      <c r="B24" s="1">
        <v>42735</v>
      </c>
      <c r="C24" s="3">
        <v>19.25</v>
      </c>
      <c r="D24" s="1">
        <v>43100</v>
      </c>
      <c r="E24" s="3">
        <v>31</v>
      </c>
      <c r="F24" s="6">
        <v>0.61038961038961004</v>
      </c>
    </row>
    <row r="25" spans="1:6" x14ac:dyDescent="0.35">
      <c r="A25" t="s">
        <v>71</v>
      </c>
      <c r="B25" s="1">
        <v>42735</v>
      </c>
      <c r="C25" s="3">
        <v>16.808800000000002</v>
      </c>
      <c r="D25" s="1">
        <v>43100</v>
      </c>
      <c r="E25" s="3">
        <v>27.921863999999999</v>
      </c>
      <c r="F25" s="6">
        <v>0.66114559040502596</v>
      </c>
    </row>
    <row r="26" spans="1:6" x14ac:dyDescent="0.35">
      <c r="A26" t="s">
        <v>6</v>
      </c>
      <c r="B26" s="1">
        <v>42735</v>
      </c>
      <c r="C26" s="3">
        <v>15.96</v>
      </c>
      <c r="D26" s="1">
        <v>43100</v>
      </c>
      <c r="E26" s="3">
        <v>16.149999999999999</v>
      </c>
      <c r="F26" s="6">
        <v>1.1904761904761901E-2</v>
      </c>
    </row>
    <row r="27" spans="1:6" x14ac:dyDescent="0.35">
      <c r="A27" t="s">
        <v>93</v>
      </c>
      <c r="B27" s="1">
        <v>42735</v>
      </c>
      <c r="C27" s="3">
        <v>5.9615</v>
      </c>
      <c r="D27" s="1">
        <v>43100</v>
      </c>
      <c r="E27" s="3">
        <v>9.2730759999999997</v>
      </c>
      <c r="F27" s="6">
        <v>0.55549375157259095</v>
      </c>
    </row>
    <row r="28" spans="1:6" x14ac:dyDescent="0.35">
      <c r="A28" t="s">
        <v>37</v>
      </c>
      <c r="B28" s="1">
        <v>42735</v>
      </c>
      <c r="C28" s="3">
        <v>36.4</v>
      </c>
      <c r="D28" s="1">
        <v>43100</v>
      </c>
      <c r="E28" s="3">
        <v>41.200001</v>
      </c>
      <c r="F28" s="6">
        <v>0.13186815934065901</v>
      </c>
    </row>
    <row r="29" spans="1:6" x14ac:dyDescent="0.35">
      <c r="A29" t="s">
        <v>24</v>
      </c>
      <c r="B29" s="1">
        <v>42735</v>
      </c>
      <c r="C29" s="3">
        <v>16.521799999999999</v>
      </c>
      <c r="D29" s="1">
        <v>43100</v>
      </c>
      <c r="E29" s="3">
        <v>28.531309</v>
      </c>
      <c r="F29" s="6">
        <v>0.72688865619968801</v>
      </c>
    </row>
    <row r="30" spans="1:6" x14ac:dyDescent="0.35">
      <c r="A30" t="s">
        <v>46</v>
      </c>
      <c r="B30" s="1">
        <v>42735</v>
      </c>
      <c r="C30" s="3">
        <v>0.43559999999999999</v>
      </c>
      <c r="D30" s="1">
        <v>43100</v>
      </c>
      <c r="E30" s="3">
        <v>1.6359999999999999</v>
      </c>
      <c r="F30" s="6">
        <v>2.7557392102846601</v>
      </c>
    </row>
    <row r="31" spans="1:6" x14ac:dyDescent="0.35">
      <c r="A31" t="s">
        <v>115</v>
      </c>
      <c r="B31" s="1">
        <v>42735</v>
      </c>
      <c r="C31" s="3">
        <v>1.1204000000000001</v>
      </c>
      <c r="D31" s="1">
        <v>43100</v>
      </c>
      <c r="E31" s="3">
        <v>1.9753810000000001</v>
      </c>
      <c r="F31" s="6">
        <v>0.76310335594430601</v>
      </c>
    </row>
    <row r="32" spans="1:6" x14ac:dyDescent="0.35">
      <c r="A32" t="s">
        <v>12</v>
      </c>
      <c r="B32" s="1">
        <v>42735</v>
      </c>
      <c r="C32" s="3">
        <v>16.399999999999999</v>
      </c>
      <c r="D32" s="1">
        <v>43100</v>
      </c>
      <c r="E32" s="3">
        <v>21.280000999999999</v>
      </c>
      <c r="F32" s="6">
        <v>0.29756103658536598</v>
      </c>
    </row>
    <row r="33" spans="1:6" x14ac:dyDescent="0.35">
      <c r="A33" t="s">
        <v>19</v>
      </c>
      <c r="B33" s="1">
        <v>42735</v>
      </c>
      <c r="C33" s="3">
        <v>4.8700999999999999</v>
      </c>
      <c r="D33" s="1">
        <v>43100</v>
      </c>
      <c r="E33" s="3">
        <v>10.824673000000001</v>
      </c>
      <c r="F33" s="6">
        <v>1.22267982176957</v>
      </c>
    </row>
    <row r="34" spans="1:6" x14ac:dyDescent="0.35">
      <c r="A34" t="s">
        <v>26</v>
      </c>
      <c r="B34" s="1">
        <v>42735</v>
      </c>
      <c r="C34" s="3">
        <v>5</v>
      </c>
      <c r="D34" s="1">
        <v>43100</v>
      </c>
      <c r="E34" s="3">
        <v>5</v>
      </c>
      <c r="F34" s="6">
        <v>0</v>
      </c>
    </row>
    <row r="35" spans="1:6" x14ac:dyDescent="0.35">
      <c r="A35" t="s">
        <v>105</v>
      </c>
      <c r="B35" s="1">
        <v>42735</v>
      </c>
      <c r="C35" s="3">
        <v>1.9079999999999999</v>
      </c>
      <c r="D35" s="1">
        <v>43100</v>
      </c>
      <c r="E35" s="3">
        <v>2.14</v>
      </c>
      <c r="F35" s="6">
        <v>0.121593291404612</v>
      </c>
    </row>
    <row r="36" spans="1:6" x14ac:dyDescent="0.35">
      <c r="A36" t="s">
        <v>32</v>
      </c>
      <c r="B36" s="1">
        <v>42735</v>
      </c>
      <c r="C36" s="3">
        <v>16.217500000000001</v>
      </c>
      <c r="D36" s="1">
        <v>43100</v>
      </c>
      <c r="E36" s="3">
        <v>16.725000000000001</v>
      </c>
      <c r="F36" s="6">
        <v>3.1293355942654498E-2</v>
      </c>
    </row>
    <row r="37" spans="1:6" x14ac:dyDescent="0.35">
      <c r="A37" t="s">
        <v>4</v>
      </c>
      <c r="B37" s="1">
        <v>42735</v>
      </c>
      <c r="C37" s="3">
        <v>1.79</v>
      </c>
      <c r="D37" s="1">
        <v>43100</v>
      </c>
      <c r="E37" s="3">
        <v>3.5</v>
      </c>
      <c r="F37" s="6">
        <v>0.95530726256983201</v>
      </c>
    </row>
    <row r="38" spans="1:6" x14ac:dyDescent="0.35">
      <c r="A38" t="s">
        <v>72</v>
      </c>
      <c r="B38" s="1">
        <v>42735</v>
      </c>
      <c r="C38" s="3">
        <v>3.8096999999999999</v>
      </c>
      <c r="D38" s="1">
        <v>43100</v>
      </c>
      <c r="E38" s="3">
        <v>3.501884</v>
      </c>
      <c r="F38" s="6">
        <v>-8.0797963094206796E-2</v>
      </c>
    </row>
    <row r="39" spans="1:6" x14ac:dyDescent="0.35">
      <c r="A39" t="s">
        <v>87</v>
      </c>
      <c r="B39" s="1">
        <v>42735</v>
      </c>
      <c r="C39" s="3">
        <v>1.94</v>
      </c>
      <c r="D39" s="1">
        <v>43100</v>
      </c>
      <c r="E39" s="3">
        <v>5.1174999999999997</v>
      </c>
      <c r="F39" s="6">
        <v>1.6378865979381401</v>
      </c>
    </row>
    <row r="40" spans="1:6" x14ac:dyDescent="0.35">
      <c r="A40" t="s">
        <v>100</v>
      </c>
      <c r="B40" s="1">
        <v>42735</v>
      </c>
      <c r="C40" s="3">
        <v>4.29</v>
      </c>
      <c r="D40" s="1">
        <v>43100</v>
      </c>
      <c r="E40" s="3">
        <v>10.39</v>
      </c>
      <c r="F40" s="6">
        <v>1.4219114219114199</v>
      </c>
    </row>
    <row r="41" spans="1:6" x14ac:dyDescent="0.35">
      <c r="A41" t="s">
        <v>116</v>
      </c>
      <c r="B41" s="1">
        <v>42735</v>
      </c>
      <c r="C41" s="3">
        <v>38.3367</v>
      </c>
      <c r="D41" s="1">
        <v>43100</v>
      </c>
      <c r="E41" s="3">
        <v>52.099997999999999</v>
      </c>
      <c r="F41" s="6">
        <v>0.35901102598815199</v>
      </c>
    </row>
    <row r="42" spans="1:6" x14ac:dyDescent="0.35">
      <c r="A42" t="s">
        <v>47</v>
      </c>
      <c r="B42" s="1">
        <v>43100</v>
      </c>
      <c r="C42" s="3">
        <v>16.149999999999999</v>
      </c>
      <c r="D42" s="1">
        <v>43465</v>
      </c>
      <c r="E42" s="3">
        <v>14.81</v>
      </c>
      <c r="F42" s="6">
        <v>-8.2972136222910095E-2</v>
      </c>
    </row>
    <row r="43" spans="1:6" x14ac:dyDescent="0.35">
      <c r="A43" t="s">
        <v>37</v>
      </c>
      <c r="B43" s="1">
        <v>43100</v>
      </c>
      <c r="C43" s="3">
        <v>41.2</v>
      </c>
      <c r="D43" s="1">
        <v>43465</v>
      </c>
      <c r="E43" s="3">
        <v>41.290000999999997</v>
      </c>
      <c r="F43" s="6">
        <v>2.1844902912620001E-3</v>
      </c>
    </row>
    <row r="44" spans="1:6" x14ac:dyDescent="0.35">
      <c r="A44" t="s">
        <v>81</v>
      </c>
      <c r="B44" s="1">
        <v>43100</v>
      </c>
      <c r="C44" s="3">
        <v>5.5103</v>
      </c>
      <c r="D44" s="1">
        <v>43465</v>
      </c>
      <c r="E44" s="3">
        <v>8.6487599999999993</v>
      </c>
      <c r="F44" s="6">
        <v>0.56956245576465903</v>
      </c>
    </row>
    <row r="45" spans="1:6" x14ac:dyDescent="0.35">
      <c r="A45" t="s">
        <v>60</v>
      </c>
      <c r="B45" s="1">
        <v>43100</v>
      </c>
      <c r="C45" s="3">
        <v>13.333299999999999</v>
      </c>
      <c r="D45" s="1">
        <v>43465</v>
      </c>
      <c r="E45" s="3">
        <v>10.333</v>
      </c>
      <c r="F45" s="6">
        <v>-0.225023062557656</v>
      </c>
    </row>
    <row r="46" spans="1:6" x14ac:dyDescent="0.35">
      <c r="A46" t="s">
        <v>94</v>
      </c>
      <c r="B46" s="1">
        <v>43100</v>
      </c>
      <c r="C46" s="3">
        <v>17.6538</v>
      </c>
      <c r="D46" s="1">
        <v>43465</v>
      </c>
      <c r="E46" s="3">
        <v>10.990384000000001</v>
      </c>
      <c r="F46" s="6">
        <v>-0.37744938766724401</v>
      </c>
    </row>
    <row r="47" spans="1:6" x14ac:dyDescent="0.35">
      <c r="A47" t="s">
        <v>41</v>
      </c>
      <c r="B47" s="1">
        <v>43100</v>
      </c>
      <c r="C47" s="3">
        <v>31</v>
      </c>
      <c r="D47" s="1">
        <v>43465</v>
      </c>
      <c r="E47" s="3">
        <v>12.89</v>
      </c>
      <c r="F47" s="6">
        <v>-0.58419354838709703</v>
      </c>
    </row>
    <row r="48" spans="1:6" x14ac:dyDescent="0.35">
      <c r="A48" t="s">
        <v>83</v>
      </c>
      <c r="B48" s="1">
        <v>43100</v>
      </c>
      <c r="C48" s="3">
        <v>3.1111</v>
      </c>
      <c r="D48" s="1">
        <v>43465</v>
      </c>
      <c r="E48" s="3">
        <v>3.9011110000000002</v>
      </c>
      <c r="F48" s="6">
        <v>0.253933014046479</v>
      </c>
    </row>
    <row r="49" spans="1:6" x14ac:dyDescent="0.35">
      <c r="A49" t="s">
        <v>12</v>
      </c>
      <c r="B49" s="1">
        <v>43100</v>
      </c>
      <c r="C49" s="3">
        <v>21.28</v>
      </c>
      <c r="D49" s="1">
        <v>43465</v>
      </c>
      <c r="E49" s="3">
        <v>15.38</v>
      </c>
      <c r="F49" s="6">
        <v>-0.27725563909774398</v>
      </c>
    </row>
    <row r="50" spans="1:6" x14ac:dyDescent="0.35">
      <c r="A50" t="s">
        <v>8</v>
      </c>
      <c r="B50" s="1">
        <v>43100</v>
      </c>
      <c r="C50" s="3">
        <v>20</v>
      </c>
      <c r="D50" s="1">
        <v>43465</v>
      </c>
      <c r="E50" s="3">
        <v>21.68</v>
      </c>
      <c r="F50" s="6">
        <v>8.4000000000000102E-2</v>
      </c>
    </row>
    <row r="51" spans="1:6" x14ac:dyDescent="0.35">
      <c r="A51" t="s">
        <v>6</v>
      </c>
      <c r="B51" s="1">
        <v>43100</v>
      </c>
      <c r="C51" s="3">
        <v>16.149999999999999</v>
      </c>
      <c r="D51" s="1">
        <v>43465</v>
      </c>
      <c r="E51" s="3">
        <v>11.2</v>
      </c>
      <c r="F51" s="6">
        <v>-0.30650154798761597</v>
      </c>
    </row>
    <row r="52" spans="1:6" x14ac:dyDescent="0.35">
      <c r="A52" t="s">
        <v>56</v>
      </c>
      <c r="B52" s="1">
        <v>43100</v>
      </c>
      <c r="C52" s="3">
        <v>11.253500000000001</v>
      </c>
      <c r="D52" s="1">
        <v>43465</v>
      </c>
      <c r="E52" s="3">
        <v>11.256143</v>
      </c>
      <c r="F52" s="6">
        <v>2.3486026569496899E-4</v>
      </c>
    </row>
    <row r="53" spans="1:6" x14ac:dyDescent="0.35">
      <c r="A53" t="s">
        <v>65</v>
      </c>
      <c r="B53" s="1">
        <v>43100</v>
      </c>
      <c r="C53" s="3">
        <v>10.75</v>
      </c>
      <c r="D53" s="1">
        <v>43465</v>
      </c>
      <c r="E53" s="3">
        <v>9.35</v>
      </c>
      <c r="F53" s="6">
        <v>-0.13023255813953499</v>
      </c>
    </row>
    <row r="54" spans="1:6" x14ac:dyDescent="0.35">
      <c r="A54" t="s">
        <v>115</v>
      </c>
      <c r="B54" s="1">
        <v>43100</v>
      </c>
      <c r="C54" s="3">
        <v>1.9754</v>
      </c>
      <c r="D54" s="1">
        <v>43465</v>
      </c>
      <c r="E54" s="3">
        <v>2.0216599999999998</v>
      </c>
      <c r="F54" s="6">
        <v>2.34180419155612E-2</v>
      </c>
    </row>
    <row r="55" spans="1:6" x14ac:dyDescent="0.35">
      <c r="A55" t="s">
        <v>22</v>
      </c>
      <c r="B55" s="1">
        <v>43100</v>
      </c>
      <c r="C55" s="3">
        <v>17.277200000000001</v>
      </c>
      <c r="D55" s="1">
        <v>43465</v>
      </c>
      <c r="E55" s="3">
        <v>12.255297000000001</v>
      </c>
      <c r="F55" s="6">
        <v>-0.29066648531012002</v>
      </c>
    </row>
    <row r="56" spans="1:6" x14ac:dyDescent="0.35">
      <c r="A56" t="s">
        <v>100</v>
      </c>
      <c r="B56" s="1">
        <v>43100</v>
      </c>
      <c r="C56" s="3">
        <v>10.39</v>
      </c>
      <c r="D56" s="1">
        <v>43465</v>
      </c>
      <c r="E56" s="3">
        <v>5.93</v>
      </c>
      <c r="F56" s="6">
        <v>-0.42925890279114498</v>
      </c>
    </row>
    <row r="57" spans="1:6" x14ac:dyDescent="0.35">
      <c r="A57" t="s">
        <v>105</v>
      </c>
      <c r="B57" s="1">
        <v>43100</v>
      </c>
      <c r="C57" s="3">
        <v>2.14</v>
      </c>
      <c r="D57" s="1">
        <v>43465</v>
      </c>
      <c r="E57" s="3">
        <v>2.98</v>
      </c>
      <c r="F57" s="6">
        <v>0.39252336448598102</v>
      </c>
    </row>
    <row r="58" spans="1:6" x14ac:dyDescent="0.35">
      <c r="A58" t="s">
        <v>92</v>
      </c>
      <c r="B58" s="1">
        <v>43100</v>
      </c>
      <c r="C58" s="3">
        <v>16.100000000000001</v>
      </c>
      <c r="D58" s="1">
        <v>43465</v>
      </c>
      <c r="E58" s="3">
        <v>22.68</v>
      </c>
      <c r="F58" s="6">
        <v>0.40869565217391302</v>
      </c>
    </row>
    <row r="59" spans="1:6" x14ac:dyDescent="0.35">
      <c r="A59" t="s">
        <v>4</v>
      </c>
      <c r="B59" s="1">
        <v>43100</v>
      </c>
      <c r="C59" s="3">
        <v>3.5</v>
      </c>
      <c r="D59" s="1">
        <v>43465</v>
      </c>
      <c r="E59" s="3">
        <v>3.15</v>
      </c>
      <c r="F59" s="6">
        <v>-0.1</v>
      </c>
    </row>
    <row r="60" spans="1:6" x14ac:dyDescent="0.35">
      <c r="A60" t="s">
        <v>24</v>
      </c>
      <c r="B60" s="1">
        <v>43100</v>
      </c>
      <c r="C60" s="3">
        <v>28.531300000000002</v>
      </c>
      <c r="D60" s="1">
        <v>43465</v>
      </c>
      <c r="E60" s="3">
        <v>23.559792999999999</v>
      </c>
      <c r="F60" s="6">
        <v>-0.174247475579451</v>
      </c>
    </row>
    <row r="61" spans="1:6" x14ac:dyDescent="0.35">
      <c r="A61" t="s">
        <v>61</v>
      </c>
      <c r="B61" s="1">
        <v>43100</v>
      </c>
      <c r="C61" s="3">
        <v>149.38999999999999</v>
      </c>
      <c r="D61" s="1">
        <v>43465</v>
      </c>
      <c r="E61" s="3">
        <v>166.5</v>
      </c>
      <c r="F61" s="6">
        <v>0.114532431889685</v>
      </c>
    </row>
    <row r="62" spans="1:6" x14ac:dyDescent="0.35">
      <c r="A62" t="s">
        <v>65</v>
      </c>
      <c r="B62" s="1">
        <v>43465</v>
      </c>
      <c r="C62" s="3">
        <v>9.35</v>
      </c>
      <c r="D62" s="1">
        <v>43830</v>
      </c>
      <c r="E62" s="3">
        <v>16</v>
      </c>
      <c r="F62" s="6">
        <v>0.71122994652406402</v>
      </c>
    </row>
    <row r="63" spans="1:6" x14ac:dyDescent="0.35">
      <c r="A63" t="s">
        <v>47</v>
      </c>
      <c r="B63" s="1">
        <v>43465</v>
      </c>
      <c r="C63" s="3">
        <v>14.81</v>
      </c>
      <c r="D63" s="1">
        <v>43830</v>
      </c>
      <c r="E63" s="3">
        <v>23.49</v>
      </c>
      <c r="F63" s="6">
        <v>0.58609047940580705</v>
      </c>
    </row>
    <row r="64" spans="1:6" x14ac:dyDescent="0.35">
      <c r="A64" t="s">
        <v>12</v>
      </c>
      <c r="B64" s="1">
        <v>43465</v>
      </c>
      <c r="C64" s="3">
        <v>15.38</v>
      </c>
      <c r="D64" s="1">
        <v>43830</v>
      </c>
      <c r="E64" s="3">
        <v>18.670000000000002</v>
      </c>
      <c r="F64" s="6">
        <v>0.21391417425227599</v>
      </c>
    </row>
    <row r="65" spans="1:6" x14ac:dyDescent="0.35">
      <c r="A65" t="s">
        <v>81</v>
      </c>
      <c r="B65" s="1">
        <v>43465</v>
      </c>
      <c r="C65" s="3">
        <v>8.6487999999999996</v>
      </c>
      <c r="D65" s="1">
        <v>43830</v>
      </c>
      <c r="E65" s="3">
        <v>10.247933</v>
      </c>
      <c r="F65" s="6">
        <v>0.18489651743594501</v>
      </c>
    </row>
    <row r="66" spans="1:6" x14ac:dyDescent="0.35">
      <c r="A66" t="s">
        <v>24</v>
      </c>
      <c r="B66" s="1">
        <v>43465</v>
      </c>
      <c r="C66" s="3">
        <v>23.559799999999999</v>
      </c>
      <c r="D66" s="1">
        <v>43830</v>
      </c>
      <c r="E66" s="3">
        <v>29.549572000000001</v>
      </c>
      <c r="F66" s="6">
        <v>0.254236962962334</v>
      </c>
    </row>
    <row r="67" spans="1:6" x14ac:dyDescent="0.35">
      <c r="A67" t="s">
        <v>61</v>
      </c>
      <c r="B67" s="1">
        <v>43465</v>
      </c>
      <c r="C67" s="3">
        <v>166.5</v>
      </c>
      <c r="D67" s="1">
        <v>43830</v>
      </c>
      <c r="E67" s="3">
        <v>170</v>
      </c>
      <c r="F67" s="6">
        <v>2.1021021021021099E-2</v>
      </c>
    </row>
    <row r="68" spans="1:6" x14ac:dyDescent="0.35">
      <c r="A68" t="s">
        <v>56</v>
      </c>
      <c r="B68" s="1">
        <v>43465</v>
      </c>
      <c r="C68" s="3">
        <v>11.2561</v>
      </c>
      <c r="D68" s="1">
        <v>43830</v>
      </c>
      <c r="E68" s="3">
        <v>11.768568999999999</v>
      </c>
      <c r="F68" s="6">
        <v>4.5528113645045797E-2</v>
      </c>
    </row>
    <row r="69" spans="1:6" x14ac:dyDescent="0.35">
      <c r="A69" t="s">
        <v>96</v>
      </c>
      <c r="B69" s="1">
        <v>43465</v>
      </c>
      <c r="C69" s="3">
        <v>9.9189000000000007</v>
      </c>
      <c r="D69" s="1">
        <v>43830</v>
      </c>
      <c r="E69" s="3">
        <v>11.569292000000001</v>
      </c>
      <c r="F69" s="6">
        <v>0.166388611640404</v>
      </c>
    </row>
    <row r="70" spans="1:6" x14ac:dyDescent="0.35">
      <c r="A70" t="s">
        <v>106</v>
      </c>
      <c r="B70" s="1">
        <v>43465</v>
      </c>
      <c r="C70" s="3">
        <v>3.7789000000000001</v>
      </c>
      <c r="D70" s="1">
        <v>43830</v>
      </c>
      <c r="E70" s="3">
        <v>5.7777770000000004</v>
      </c>
      <c r="F70" s="6">
        <v>0.52895736854640196</v>
      </c>
    </row>
    <row r="71" spans="1:6" x14ac:dyDescent="0.35">
      <c r="A71" t="s">
        <v>93</v>
      </c>
      <c r="B71" s="1">
        <v>43465</v>
      </c>
      <c r="C71" s="3">
        <v>8.77</v>
      </c>
      <c r="D71" s="1">
        <v>43830</v>
      </c>
      <c r="E71" s="3">
        <v>17.329999999999998</v>
      </c>
      <c r="F71" s="6">
        <v>0.97605473204104898</v>
      </c>
    </row>
    <row r="72" spans="1:6" x14ac:dyDescent="0.35">
      <c r="A72" t="s">
        <v>6</v>
      </c>
      <c r="B72" s="1">
        <v>43465</v>
      </c>
      <c r="C72" s="3">
        <v>11.2</v>
      </c>
      <c r="D72" s="1">
        <v>43830</v>
      </c>
      <c r="E72" s="3">
        <v>18.98</v>
      </c>
      <c r="F72" s="6">
        <v>0.69464285714285701</v>
      </c>
    </row>
    <row r="73" spans="1:6" x14ac:dyDescent="0.35">
      <c r="A73" t="s">
        <v>43</v>
      </c>
      <c r="B73" s="1">
        <v>43465</v>
      </c>
      <c r="C73" s="3">
        <v>25.7</v>
      </c>
      <c r="D73" s="1">
        <v>43830</v>
      </c>
      <c r="E73" s="3">
        <v>30.07</v>
      </c>
      <c r="F73" s="6">
        <v>0.170038910505837</v>
      </c>
    </row>
    <row r="74" spans="1:6" x14ac:dyDescent="0.35">
      <c r="A74" t="s">
        <v>118</v>
      </c>
      <c r="B74" s="1">
        <v>43465</v>
      </c>
      <c r="C74" s="3">
        <v>4.0199999999999996</v>
      </c>
      <c r="D74" s="1">
        <v>43830</v>
      </c>
      <c r="E74" s="3">
        <v>15</v>
      </c>
      <c r="F74" s="6">
        <v>2.7313432835820901</v>
      </c>
    </row>
    <row r="75" spans="1:6" x14ac:dyDescent="0.35">
      <c r="A75" t="s">
        <v>4</v>
      </c>
      <c r="B75" s="1">
        <v>43465</v>
      </c>
      <c r="C75" s="3">
        <v>3.15</v>
      </c>
      <c r="D75" s="1">
        <v>43830</v>
      </c>
      <c r="E75" s="3">
        <v>4.95</v>
      </c>
      <c r="F75" s="6">
        <v>0.57142857142857195</v>
      </c>
    </row>
    <row r="76" spans="1:6" x14ac:dyDescent="0.35">
      <c r="A76" t="s">
        <v>16</v>
      </c>
      <c r="B76" s="1">
        <v>43465</v>
      </c>
      <c r="C76" s="3">
        <v>8.3650000000000002</v>
      </c>
      <c r="D76" s="1">
        <v>43830</v>
      </c>
      <c r="E76" s="3">
        <v>17.392499999999998</v>
      </c>
      <c r="F76" s="6">
        <v>1.0791990436341901</v>
      </c>
    </row>
    <row r="77" spans="1:6" x14ac:dyDescent="0.35">
      <c r="A77" t="s">
        <v>100</v>
      </c>
      <c r="B77" s="1">
        <v>43465</v>
      </c>
      <c r="C77" s="3">
        <v>5.93</v>
      </c>
      <c r="D77" s="1">
        <v>43830</v>
      </c>
      <c r="E77" s="3">
        <v>3.25</v>
      </c>
      <c r="F77" s="6">
        <v>-0.45193929173693098</v>
      </c>
    </row>
    <row r="78" spans="1:6" x14ac:dyDescent="0.35">
      <c r="A78" t="s">
        <v>23</v>
      </c>
      <c r="B78" s="1">
        <v>43465</v>
      </c>
      <c r="C78" s="3">
        <v>5.2925000000000004</v>
      </c>
      <c r="D78" s="1">
        <v>43830</v>
      </c>
      <c r="E78" s="3">
        <v>11.153729999999999</v>
      </c>
      <c r="F78" s="6">
        <v>1.1074596126594201</v>
      </c>
    </row>
    <row r="79" spans="1:6" x14ac:dyDescent="0.35">
      <c r="A79" t="s">
        <v>105</v>
      </c>
      <c r="B79" s="1">
        <v>43465</v>
      </c>
      <c r="C79" s="3">
        <v>2.98</v>
      </c>
      <c r="D79" s="1">
        <v>43830</v>
      </c>
      <c r="E79" s="3">
        <v>6.91</v>
      </c>
      <c r="F79" s="6">
        <v>1.3187919463087201</v>
      </c>
    </row>
    <row r="80" spans="1:6" x14ac:dyDescent="0.35">
      <c r="A80" t="s">
        <v>37</v>
      </c>
      <c r="B80" s="1">
        <v>43465</v>
      </c>
      <c r="C80" s="3">
        <v>41.29</v>
      </c>
      <c r="D80" s="1">
        <v>43830</v>
      </c>
      <c r="E80" s="3">
        <v>49.040000999999997</v>
      </c>
      <c r="F80" s="6">
        <v>0.18769680310002401</v>
      </c>
    </row>
    <row r="81" spans="1:6" x14ac:dyDescent="0.35">
      <c r="A81" t="s">
        <v>7</v>
      </c>
      <c r="B81" s="1">
        <v>43465</v>
      </c>
      <c r="C81" s="3">
        <v>18.27</v>
      </c>
      <c r="D81" s="1">
        <v>43830</v>
      </c>
      <c r="E81" s="3">
        <v>36.93</v>
      </c>
      <c r="F81" s="6">
        <v>1.02134646962233</v>
      </c>
    </row>
    <row r="82" spans="1:6" x14ac:dyDescent="0.35">
      <c r="A82" t="s">
        <v>37</v>
      </c>
      <c r="B82" s="1">
        <v>43830</v>
      </c>
      <c r="C82" s="3">
        <v>49.04</v>
      </c>
      <c r="D82" s="1">
        <v>44196</v>
      </c>
      <c r="E82" s="3">
        <v>46.5</v>
      </c>
      <c r="F82" s="6">
        <v>-5.1794453507340903E-2</v>
      </c>
    </row>
    <row r="83" spans="1:6" x14ac:dyDescent="0.35">
      <c r="A83" t="s">
        <v>65</v>
      </c>
      <c r="B83" s="1">
        <v>43830</v>
      </c>
      <c r="C83" s="3">
        <v>16</v>
      </c>
      <c r="D83" s="1">
        <v>44196</v>
      </c>
      <c r="E83" s="3">
        <v>11.85</v>
      </c>
      <c r="F83" s="6">
        <v>-0.25937500000000002</v>
      </c>
    </row>
    <row r="84" spans="1:6" x14ac:dyDescent="0.35">
      <c r="A84" t="s">
        <v>43</v>
      </c>
      <c r="B84" s="1">
        <v>43830</v>
      </c>
      <c r="C84" s="3">
        <v>30.07</v>
      </c>
      <c r="D84" s="1">
        <v>44196</v>
      </c>
      <c r="E84" s="3">
        <v>22.129999000000002</v>
      </c>
      <c r="F84" s="6">
        <v>-0.264050581975391</v>
      </c>
    </row>
    <row r="85" spans="1:6" x14ac:dyDescent="0.35">
      <c r="A85" t="s">
        <v>47</v>
      </c>
      <c r="B85" s="1">
        <v>43830</v>
      </c>
      <c r="C85" s="3">
        <v>23.49</v>
      </c>
      <c r="D85" s="1">
        <v>44196</v>
      </c>
      <c r="E85" s="3">
        <v>31.950001</v>
      </c>
      <c r="F85" s="6">
        <v>0.36015329927628797</v>
      </c>
    </row>
    <row r="86" spans="1:6" x14ac:dyDescent="0.35">
      <c r="A86" t="s">
        <v>104</v>
      </c>
      <c r="B86" s="1">
        <v>43830</v>
      </c>
      <c r="C86" s="3">
        <v>12.78</v>
      </c>
      <c r="D86" s="1">
        <v>44196</v>
      </c>
      <c r="E86" s="3">
        <v>15.26</v>
      </c>
      <c r="F86" s="6">
        <v>0.19405320813771501</v>
      </c>
    </row>
    <row r="87" spans="1:6" x14ac:dyDescent="0.35">
      <c r="A87" t="s">
        <v>16</v>
      </c>
      <c r="B87" s="1">
        <v>43830</v>
      </c>
      <c r="C87" s="3">
        <v>17.392499999999998</v>
      </c>
      <c r="D87" s="1">
        <v>44196</v>
      </c>
      <c r="E87" s="3">
        <v>18.932500999999998</v>
      </c>
      <c r="F87" s="6">
        <v>8.8543970102055405E-2</v>
      </c>
    </row>
    <row r="88" spans="1:6" x14ac:dyDescent="0.35">
      <c r="A88" t="s">
        <v>94</v>
      </c>
      <c r="B88" s="1">
        <v>43830</v>
      </c>
      <c r="C88" s="3">
        <v>21.469200000000001</v>
      </c>
      <c r="D88" s="1">
        <v>44196</v>
      </c>
      <c r="E88" s="3">
        <v>24.076923000000001</v>
      </c>
      <c r="F88" s="6">
        <v>0.121463445307697</v>
      </c>
    </row>
    <row r="89" spans="1:6" x14ac:dyDescent="0.35">
      <c r="A89" t="s">
        <v>105</v>
      </c>
      <c r="B89" s="1">
        <v>43830</v>
      </c>
      <c r="C89" s="3">
        <v>6.91</v>
      </c>
      <c r="D89" s="1">
        <v>44196</v>
      </c>
      <c r="E89" s="3">
        <v>7</v>
      </c>
      <c r="F89" s="6">
        <v>1.3024602026049201E-2</v>
      </c>
    </row>
    <row r="90" spans="1:6" x14ac:dyDescent="0.35">
      <c r="A90" t="s">
        <v>38</v>
      </c>
      <c r="B90" s="1">
        <v>43830</v>
      </c>
      <c r="C90" s="3">
        <v>14.11</v>
      </c>
      <c r="D90" s="1">
        <v>44196</v>
      </c>
      <c r="E90" s="3">
        <v>31.85</v>
      </c>
      <c r="F90" s="6">
        <v>1.2572643515237401</v>
      </c>
    </row>
    <row r="91" spans="1:6" x14ac:dyDescent="0.35">
      <c r="A91" t="s">
        <v>41</v>
      </c>
      <c r="B91" s="1">
        <v>43830</v>
      </c>
      <c r="C91" s="3">
        <v>37.1</v>
      </c>
      <c r="D91" s="1">
        <v>44196</v>
      </c>
      <c r="E91" s="3">
        <v>34.979999999999997</v>
      </c>
      <c r="F91" s="6">
        <v>-5.7142857142857301E-2</v>
      </c>
    </row>
    <row r="92" spans="1:6" x14ac:dyDescent="0.35">
      <c r="A92" t="s">
        <v>24</v>
      </c>
      <c r="B92" s="1">
        <v>43830</v>
      </c>
      <c r="C92" s="3">
        <v>29.549600000000002</v>
      </c>
      <c r="D92" s="1">
        <v>44196</v>
      </c>
      <c r="E92" s="3">
        <v>34.940372000000004</v>
      </c>
      <c r="F92" s="6">
        <v>0.18243130194655799</v>
      </c>
    </row>
    <row r="93" spans="1:6" x14ac:dyDescent="0.35">
      <c r="A93" t="s">
        <v>150</v>
      </c>
      <c r="B93" s="1">
        <v>43830</v>
      </c>
      <c r="C93" s="3">
        <v>5.37</v>
      </c>
      <c r="D93" s="1">
        <v>44196</v>
      </c>
      <c r="E93" s="3">
        <v>6.86</v>
      </c>
      <c r="F93" s="6">
        <v>0.27746741154562399</v>
      </c>
    </row>
    <row r="94" spans="1:6" x14ac:dyDescent="0.35">
      <c r="A94" t="s">
        <v>35</v>
      </c>
      <c r="B94" s="1">
        <v>43830</v>
      </c>
      <c r="C94" s="3">
        <v>21.463899999999999</v>
      </c>
      <c r="D94" s="1">
        <v>44196</v>
      </c>
      <c r="E94" s="3">
        <v>28.649607</v>
      </c>
      <c r="F94" s="6">
        <v>0.33478105097396099</v>
      </c>
    </row>
    <row r="95" spans="1:6" x14ac:dyDescent="0.35">
      <c r="A95" t="s">
        <v>103</v>
      </c>
      <c r="B95" s="1">
        <v>43830</v>
      </c>
      <c r="C95" s="3">
        <v>33.46</v>
      </c>
      <c r="D95" s="1">
        <v>44196</v>
      </c>
      <c r="E95" s="3">
        <v>33.459999000000003</v>
      </c>
      <c r="F95" s="6">
        <v>-2.9886431440751002E-8</v>
      </c>
    </row>
    <row r="96" spans="1:6" x14ac:dyDescent="0.35">
      <c r="A96" t="s">
        <v>48</v>
      </c>
      <c r="B96" s="1">
        <v>43830</v>
      </c>
      <c r="C96" s="3">
        <v>29.12</v>
      </c>
      <c r="D96" s="1">
        <v>44196</v>
      </c>
      <c r="E96" s="3">
        <v>29.459999</v>
      </c>
      <c r="F96" s="6">
        <v>1.16757898351647E-2</v>
      </c>
    </row>
    <row r="97" spans="1:6" x14ac:dyDescent="0.35">
      <c r="A97" t="s">
        <v>28</v>
      </c>
      <c r="B97" s="1">
        <v>43830</v>
      </c>
      <c r="C97" s="3">
        <v>25.8</v>
      </c>
      <c r="D97" s="1">
        <v>44196</v>
      </c>
      <c r="E97" s="3">
        <v>23.66</v>
      </c>
      <c r="F97" s="6">
        <v>-8.2945736434108505E-2</v>
      </c>
    </row>
    <row r="98" spans="1:6" x14ac:dyDescent="0.35">
      <c r="A98" t="s">
        <v>108</v>
      </c>
      <c r="B98" s="1">
        <v>43830</v>
      </c>
      <c r="C98" s="3">
        <v>10.878</v>
      </c>
      <c r="D98" s="1">
        <v>44196</v>
      </c>
      <c r="E98" s="3">
        <v>25</v>
      </c>
      <c r="F98" s="6">
        <v>1.2982165839308699</v>
      </c>
    </row>
    <row r="99" spans="1:6" x14ac:dyDescent="0.35">
      <c r="A99" t="s">
        <v>23</v>
      </c>
      <c r="B99" s="1">
        <v>43830</v>
      </c>
      <c r="C99" s="3">
        <v>11.153700000000001</v>
      </c>
      <c r="D99" s="1">
        <v>44196</v>
      </c>
      <c r="E99" s="3">
        <v>23.336317000000001</v>
      </c>
      <c r="F99" s="6">
        <v>1.0922489398136901</v>
      </c>
    </row>
    <row r="100" spans="1:6" x14ac:dyDescent="0.35">
      <c r="A100" t="s">
        <v>153</v>
      </c>
      <c r="B100" s="1">
        <v>43830</v>
      </c>
      <c r="C100" s="3">
        <v>2.66</v>
      </c>
      <c r="D100" s="1">
        <v>44196</v>
      </c>
      <c r="E100" s="3">
        <v>7.3766660000000002</v>
      </c>
      <c r="F100" s="6">
        <v>1.7731827067669199</v>
      </c>
    </row>
    <row r="101" spans="1:6" x14ac:dyDescent="0.35">
      <c r="A101" t="s">
        <v>72</v>
      </c>
      <c r="B101" s="1">
        <v>43830</v>
      </c>
      <c r="C101" s="3">
        <v>7.0293000000000001</v>
      </c>
      <c r="D101" s="1">
        <v>44196</v>
      </c>
      <c r="E101" s="3">
        <v>7.727017</v>
      </c>
      <c r="F101" s="6">
        <v>9.9258389882349599E-2</v>
      </c>
    </row>
    <row r="102" spans="1:6" x14ac:dyDescent="0.35">
      <c r="A102" t="s">
        <v>37</v>
      </c>
      <c r="B102" s="1">
        <v>44196</v>
      </c>
      <c r="C102" s="3">
        <v>46.5</v>
      </c>
      <c r="D102" s="1">
        <v>44561</v>
      </c>
      <c r="E102" s="3">
        <v>48.43</v>
      </c>
      <c r="F102" s="6">
        <v>4.1505376344085999E-2</v>
      </c>
    </row>
    <row r="103" spans="1:6" x14ac:dyDescent="0.35">
      <c r="A103" t="s">
        <v>107</v>
      </c>
      <c r="B103" s="1">
        <v>44196</v>
      </c>
      <c r="C103" s="3">
        <v>14.65</v>
      </c>
      <c r="D103" s="1">
        <v>44561</v>
      </c>
      <c r="E103" s="3">
        <v>12.93</v>
      </c>
      <c r="F103" s="6">
        <v>-0.11740614334471</v>
      </c>
    </row>
    <row r="104" spans="1:6" x14ac:dyDescent="0.35">
      <c r="A104" t="s">
        <v>109</v>
      </c>
      <c r="B104" s="1">
        <v>44196</v>
      </c>
      <c r="C104" s="3">
        <v>57</v>
      </c>
      <c r="D104" s="1">
        <v>44561</v>
      </c>
      <c r="E104" s="3">
        <v>57.439999</v>
      </c>
      <c r="F104" s="6">
        <v>7.7192807017543198E-3</v>
      </c>
    </row>
    <row r="105" spans="1:6" x14ac:dyDescent="0.35">
      <c r="A105" t="s">
        <v>34</v>
      </c>
      <c r="B105" s="1">
        <v>44196</v>
      </c>
      <c r="C105" s="3">
        <v>34.25</v>
      </c>
      <c r="D105" s="1">
        <v>44561</v>
      </c>
      <c r="E105" s="3">
        <v>28.290001</v>
      </c>
      <c r="F105" s="6">
        <v>-0.174014569343066</v>
      </c>
    </row>
    <row r="106" spans="1:6" x14ac:dyDescent="0.35">
      <c r="A106" t="s">
        <v>13</v>
      </c>
      <c r="B106" s="1">
        <v>44196</v>
      </c>
      <c r="C106" s="3">
        <v>13.2273</v>
      </c>
      <c r="D106" s="1">
        <v>44561</v>
      </c>
      <c r="E106" s="3">
        <v>11.454545</v>
      </c>
      <c r="F106" s="6">
        <v>-0.134022438441708</v>
      </c>
    </row>
    <row r="107" spans="1:6" x14ac:dyDescent="0.35">
      <c r="A107" t="s">
        <v>47</v>
      </c>
      <c r="B107" s="1">
        <v>44196</v>
      </c>
      <c r="C107" s="3">
        <v>31.95</v>
      </c>
      <c r="D107" s="1">
        <v>44561</v>
      </c>
      <c r="E107" s="3">
        <v>43.990001999999997</v>
      </c>
      <c r="F107" s="6">
        <v>0.37683887323943699</v>
      </c>
    </row>
    <row r="108" spans="1:6" x14ac:dyDescent="0.35">
      <c r="A108" t="s">
        <v>29</v>
      </c>
      <c r="B108" s="1">
        <v>44196</v>
      </c>
      <c r="C108" s="3">
        <v>15.7</v>
      </c>
      <c r="D108" s="1">
        <v>44561</v>
      </c>
      <c r="E108" s="3">
        <v>12.74</v>
      </c>
      <c r="F108" s="6">
        <v>-0.18853503184713399</v>
      </c>
    </row>
    <row r="109" spans="1:6" x14ac:dyDescent="0.35">
      <c r="A109" t="s">
        <v>65</v>
      </c>
      <c r="B109" s="1">
        <v>44196</v>
      </c>
      <c r="C109" s="3">
        <v>11.85</v>
      </c>
      <c r="D109" s="1">
        <v>44561</v>
      </c>
      <c r="E109" s="3">
        <v>13.4</v>
      </c>
      <c r="F109" s="6">
        <v>0.13080168776371301</v>
      </c>
    </row>
    <row r="110" spans="1:6" x14ac:dyDescent="0.35">
      <c r="A110" t="s">
        <v>108</v>
      </c>
      <c r="B110" s="1">
        <v>44196</v>
      </c>
      <c r="C110" s="3">
        <v>25</v>
      </c>
      <c r="D110" s="1">
        <v>44561</v>
      </c>
      <c r="E110" s="3">
        <v>15.94</v>
      </c>
      <c r="F110" s="6">
        <v>-0.3624</v>
      </c>
    </row>
    <row r="111" spans="1:6" x14ac:dyDescent="0.35">
      <c r="A111" t="s">
        <v>73</v>
      </c>
      <c r="B111" s="1">
        <v>44196</v>
      </c>
      <c r="C111" s="3">
        <v>2.629</v>
      </c>
      <c r="D111" s="1">
        <v>44561</v>
      </c>
      <c r="E111" s="3">
        <v>2.73</v>
      </c>
      <c r="F111" s="6">
        <v>3.8417649296310398E-2</v>
      </c>
    </row>
    <row r="112" spans="1:6" x14ac:dyDescent="0.35">
      <c r="A112" t="s">
        <v>118</v>
      </c>
      <c r="B112" s="1">
        <v>44196</v>
      </c>
      <c r="C112" s="3">
        <v>10.27</v>
      </c>
      <c r="D112" s="1">
        <v>44561</v>
      </c>
      <c r="E112" s="3">
        <v>7.1</v>
      </c>
      <c r="F112" s="6">
        <v>-0.30866601752677703</v>
      </c>
    </row>
    <row r="113" spans="1:6" x14ac:dyDescent="0.35">
      <c r="A113" t="s">
        <v>43</v>
      </c>
      <c r="B113" s="1">
        <v>44196</v>
      </c>
      <c r="C113" s="3">
        <v>22.13</v>
      </c>
      <c r="D113" s="1">
        <v>44561</v>
      </c>
      <c r="E113" s="3">
        <v>21.110001</v>
      </c>
      <c r="F113" s="6">
        <v>-4.6091233619520902E-2</v>
      </c>
    </row>
    <row r="114" spans="1:6" x14ac:dyDescent="0.35">
      <c r="A114" t="s">
        <v>21</v>
      </c>
      <c r="B114" s="1">
        <v>44196</v>
      </c>
      <c r="C114" s="3">
        <v>29.369599999999998</v>
      </c>
      <c r="D114" s="1">
        <v>44561</v>
      </c>
      <c r="E114" s="3">
        <v>24.98</v>
      </c>
      <c r="F114" s="6">
        <v>-0.14946066681194201</v>
      </c>
    </row>
    <row r="115" spans="1:6" x14ac:dyDescent="0.35">
      <c r="A115" t="s">
        <v>36</v>
      </c>
      <c r="B115" s="1">
        <v>44196</v>
      </c>
      <c r="C115" s="3">
        <v>12.160600000000001</v>
      </c>
      <c r="D115" s="1">
        <v>44561</v>
      </c>
      <c r="E115" s="3">
        <v>14.490358000000001</v>
      </c>
      <c r="F115" s="6">
        <v>0.19158248770619901</v>
      </c>
    </row>
    <row r="116" spans="1:6" x14ac:dyDescent="0.35">
      <c r="A116" t="s">
        <v>165</v>
      </c>
      <c r="B116" s="1">
        <v>44196</v>
      </c>
      <c r="C116" s="3">
        <v>36.399500000000003</v>
      </c>
      <c r="D116" s="1">
        <v>44561</v>
      </c>
      <c r="E116" s="3">
        <v>33.027831999999997</v>
      </c>
      <c r="F116" s="6">
        <v>-9.2629514141677999E-2</v>
      </c>
    </row>
    <row r="117" spans="1:6" x14ac:dyDescent="0.35">
      <c r="A117" t="s">
        <v>58</v>
      </c>
      <c r="B117" s="1">
        <v>44196</v>
      </c>
      <c r="C117" s="3">
        <v>2.87</v>
      </c>
      <c r="D117" s="1">
        <v>44561</v>
      </c>
      <c r="E117" s="3">
        <v>3.02</v>
      </c>
      <c r="F117" s="6">
        <v>5.2264808362369401E-2</v>
      </c>
    </row>
    <row r="118" spans="1:6" x14ac:dyDescent="0.35">
      <c r="A118" t="s">
        <v>38</v>
      </c>
      <c r="B118" s="1">
        <v>44196</v>
      </c>
      <c r="C118" s="3">
        <v>31.85</v>
      </c>
      <c r="D118" s="1">
        <v>44561</v>
      </c>
      <c r="E118" s="3">
        <v>25.15</v>
      </c>
      <c r="F118" s="6">
        <v>-0.210361067503925</v>
      </c>
    </row>
    <row r="119" spans="1:6" x14ac:dyDescent="0.35">
      <c r="A119" t="s">
        <v>48</v>
      </c>
      <c r="B119" s="1">
        <v>44196</v>
      </c>
      <c r="C119" s="3">
        <v>29.46</v>
      </c>
      <c r="D119" s="1">
        <v>44561</v>
      </c>
      <c r="E119" s="3">
        <v>25.67</v>
      </c>
      <c r="F119" s="6">
        <v>-0.12864901561439199</v>
      </c>
    </row>
    <row r="120" spans="1:6" x14ac:dyDescent="0.35">
      <c r="A120" t="s">
        <v>24</v>
      </c>
      <c r="B120" s="1">
        <v>44196</v>
      </c>
      <c r="C120" s="3">
        <v>34.940399999999997</v>
      </c>
      <c r="D120" s="1">
        <v>44561</v>
      </c>
      <c r="E120" s="3">
        <v>37.396178999999997</v>
      </c>
      <c r="F120" s="6">
        <v>7.0284799258165206E-2</v>
      </c>
    </row>
    <row r="121" spans="1:6" x14ac:dyDescent="0.35">
      <c r="A121" t="s">
        <v>10</v>
      </c>
      <c r="B121" s="1">
        <v>44196</v>
      </c>
      <c r="C121" s="3">
        <v>5.0999999999999996</v>
      </c>
      <c r="D121" s="1">
        <v>44561</v>
      </c>
      <c r="E121" s="3">
        <v>11.09</v>
      </c>
      <c r="F121" s="6">
        <v>1.17450980392157</v>
      </c>
    </row>
    <row r="122" spans="1:6" x14ac:dyDescent="0.35">
      <c r="A122" t="s">
        <v>37</v>
      </c>
      <c r="B122" s="1">
        <v>44561</v>
      </c>
      <c r="C122" s="3">
        <v>48.43</v>
      </c>
      <c r="D122" s="1">
        <v>44926</v>
      </c>
      <c r="E122" s="3">
        <v>38.349997999999999</v>
      </c>
      <c r="F122" s="6">
        <v>-0.208135494528185</v>
      </c>
    </row>
    <row r="123" spans="1:6" x14ac:dyDescent="0.35">
      <c r="A123" t="s">
        <v>108</v>
      </c>
      <c r="B123" s="1">
        <v>44561</v>
      </c>
      <c r="C123" s="3">
        <v>15.94</v>
      </c>
      <c r="D123" s="1">
        <v>44926</v>
      </c>
      <c r="E123" s="3">
        <v>10.19</v>
      </c>
      <c r="F123" s="6">
        <v>-0.36072772898368899</v>
      </c>
    </row>
    <row r="124" spans="1:6" x14ac:dyDescent="0.35">
      <c r="A124" t="s">
        <v>120</v>
      </c>
      <c r="B124" s="1">
        <v>44561</v>
      </c>
      <c r="C124" s="3">
        <v>6.23</v>
      </c>
      <c r="D124" s="1">
        <v>44926</v>
      </c>
      <c r="E124" s="3">
        <v>3.9</v>
      </c>
      <c r="F124" s="6">
        <v>-0.37399678972712702</v>
      </c>
    </row>
    <row r="125" spans="1:6" x14ac:dyDescent="0.35">
      <c r="A125" t="s">
        <v>28</v>
      </c>
      <c r="B125" s="1">
        <v>44561</v>
      </c>
      <c r="C125" s="3">
        <v>37.94</v>
      </c>
      <c r="D125" s="1">
        <v>44926</v>
      </c>
      <c r="E125" s="3">
        <v>21.99</v>
      </c>
      <c r="F125" s="6">
        <v>-0.42040063257775401</v>
      </c>
    </row>
    <row r="126" spans="1:6" x14ac:dyDescent="0.35">
      <c r="A126" t="s">
        <v>48</v>
      </c>
      <c r="B126" s="1">
        <v>44561</v>
      </c>
      <c r="C126" s="3">
        <v>25.67</v>
      </c>
      <c r="D126" s="1">
        <v>44926</v>
      </c>
      <c r="E126" s="3">
        <v>22.43</v>
      </c>
      <c r="F126" s="6">
        <v>-0.12621737436696501</v>
      </c>
    </row>
    <row r="127" spans="1:6" x14ac:dyDescent="0.35">
      <c r="A127" t="s">
        <v>166</v>
      </c>
      <c r="B127" s="1">
        <v>44561</v>
      </c>
      <c r="C127" s="3">
        <v>18.114000000000001</v>
      </c>
      <c r="D127" s="1">
        <v>44926</v>
      </c>
      <c r="E127" s="3">
        <v>8</v>
      </c>
      <c r="F127" s="6">
        <v>-0.55835265540465895</v>
      </c>
    </row>
    <row r="128" spans="1:6" x14ac:dyDescent="0.35">
      <c r="A128" t="s">
        <v>11</v>
      </c>
      <c r="B128" s="1">
        <v>44561</v>
      </c>
      <c r="C128" s="3">
        <v>14.425000000000001</v>
      </c>
      <c r="D128" s="1">
        <v>44926</v>
      </c>
      <c r="E128" s="3">
        <v>17.364999999999998</v>
      </c>
      <c r="F128" s="6">
        <v>0.203812824956672</v>
      </c>
    </row>
    <row r="129" spans="1:6" x14ac:dyDescent="0.35">
      <c r="A129" t="s">
        <v>20</v>
      </c>
      <c r="B129" s="1">
        <v>44561</v>
      </c>
      <c r="C129" s="3">
        <v>7.25</v>
      </c>
      <c r="D129" s="1">
        <v>44926</v>
      </c>
      <c r="E129" s="3">
        <v>4.1500000000000004</v>
      </c>
      <c r="F129" s="6">
        <v>-0.42758620689655202</v>
      </c>
    </row>
    <row r="130" spans="1:6" x14ac:dyDescent="0.35">
      <c r="A130" t="s">
        <v>42</v>
      </c>
      <c r="B130" s="1">
        <v>44561</v>
      </c>
      <c r="C130" s="3">
        <v>11.85</v>
      </c>
      <c r="D130" s="1">
        <v>44926</v>
      </c>
      <c r="E130" s="3">
        <v>10.71</v>
      </c>
      <c r="F130" s="6">
        <v>-9.6202531645569495E-2</v>
      </c>
    </row>
    <row r="131" spans="1:6" x14ac:dyDescent="0.35">
      <c r="A131" t="s">
        <v>47</v>
      </c>
      <c r="B131" s="1">
        <v>44561</v>
      </c>
      <c r="C131" s="3">
        <v>43.99</v>
      </c>
      <c r="D131" s="1">
        <v>44926</v>
      </c>
      <c r="E131" s="3">
        <v>46.279998999999997</v>
      </c>
      <c r="F131" s="6">
        <v>5.2057263014321203E-2</v>
      </c>
    </row>
    <row r="132" spans="1:6" x14ac:dyDescent="0.35">
      <c r="A132" t="s">
        <v>49</v>
      </c>
      <c r="B132" s="1">
        <v>44561</v>
      </c>
      <c r="C132" s="3">
        <v>5.74</v>
      </c>
      <c r="D132" s="1">
        <v>44926</v>
      </c>
      <c r="E132" s="3">
        <v>5.15</v>
      </c>
      <c r="F132" s="6">
        <v>-0.10278745644599301</v>
      </c>
    </row>
    <row r="133" spans="1:6" x14ac:dyDescent="0.35">
      <c r="A133" t="s">
        <v>41</v>
      </c>
      <c r="B133" s="1">
        <v>44561</v>
      </c>
      <c r="C133" s="3">
        <v>16.63</v>
      </c>
      <c r="D133" s="1">
        <v>44926</v>
      </c>
      <c r="E133" s="3">
        <v>5.87</v>
      </c>
      <c r="F133" s="6">
        <v>-0.64702345159350605</v>
      </c>
    </row>
    <row r="134" spans="1:6" x14ac:dyDescent="0.35">
      <c r="A134" t="s">
        <v>23</v>
      </c>
      <c r="B134" s="1">
        <v>44561</v>
      </c>
      <c r="C134" s="3">
        <v>6.7530000000000001</v>
      </c>
      <c r="D134" s="1">
        <v>44926</v>
      </c>
      <c r="E134" s="3">
        <v>2.5627849999999999</v>
      </c>
      <c r="F134" s="6">
        <v>-0.620496816229824</v>
      </c>
    </row>
    <row r="135" spans="1:6" x14ac:dyDescent="0.35">
      <c r="A135" t="s">
        <v>4</v>
      </c>
      <c r="B135" s="1">
        <v>44561</v>
      </c>
      <c r="C135" s="3">
        <v>6.27</v>
      </c>
      <c r="D135" s="1">
        <v>44926</v>
      </c>
      <c r="E135" s="3">
        <v>6.25</v>
      </c>
      <c r="F135" s="6">
        <v>-3.1897926634768502E-3</v>
      </c>
    </row>
    <row r="136" spans="1:6" x14ac:dyDescent="0.35">
      <c r="A136" t="s">
        <v>29</v>
      </c>
      <c r="B136" s="1">
        <v>44561</v>
      </c>
      <c r="C136" s="3">
        <v>12.74</v>
      </c>
      <c r="D136" s="1">
        <v>44926</v>
      </c>
      <c r="E136" s="3">
        <v>10</v>
      </c>
      <c r="F136" s="6">
        <v>-0.21507064364207201</v>
      </c>
    </row>
    <row r="137" spans="1:6" x14ac:dyDescent="0.35">
      <c r="A137" t="s">
        <v>110</v>
      </c>
      <c r="B137" s="1">
        <v>44561</v>
      </c>
      <c r="C137" s="3">
        <v>13.26</v>
      </c>
      <c r="D137" s="1">
        <v>44926</v>
      </c>
      <c r="E137" s="3">
        <v>7.02</v>
      </c>
      <c r="F137" s="6">
        <v>-0.47058823529411797</v>
      </c>
    </row>
    <row r="138" spans="1:6" x14ac:dyDescent="0.35">
      <c r="A138" t="s">
        <v>122</v>
      </c>
      <c r="B138" s="1">
        <v>44561</v>
      </c>
      <c r="C138" s="3">
        <v>71</v>
      </c>
      <c r="D138" s="1">
        <v>44926</v>
      </c>
      <c r="E138" s="3">
        <v>72</v>
      </c>
      <c r="F138" s="6">
        <v>1.4084507042253501E-2</v>
      </c>
    </row>
    <row r="139" spans="1:6" x14ac:dyDescent="0.35">
      <c r="A139" t="s">
        <v>13</v>
      </c>
      <c r="B139" s="1">
        <v>44561</v>
      </c>
      <c r="C139" s="3">
        <v>11.454499999999999</v>
      </c>
      <c r="D139" s="1">
        <v>44926</v>
      </c>
      <c r="E139" s="3">
        <v>9.0299999999999994</v>
      </c>
      <c r="F139" s="6">
        <v>-0.211663538347374</v>
      </c>
    </row>
    <row r="140" spans="1:6" x14ac:dyDescent="0.35">
      <c r="A140" t="s">
        <v>65</v>
      </c>
      <c r="B140" s="1">
        <v>44561</v>
      </c>
      <c r="C140" s="3">
        <v>13.4</v>
      </c>
      <c r="D140" s="1">
        <v>44926</v>
      </c>
      <c r="E140" s="3">
        <v>13.5</v>
      </c>
      <c r="F140" s="6">
        <v>7.4626865671640896E-3</v>
      </c>
    </row>
    <row r="141" spans="1:6" x14ac:dyDescent="0.35">
      <c r="A141" t="s">
        <v>150</v>
      </c>
      <c r="B141" s="1">
        <v>44561</v>
      </c>
      <c r="C141" s="3">
        <v>9.66</v>
      </c>
      <c r="D141" s="1">
        <v>44926</v>
      </c>
      <c r="E141" s="3">
        <v>8.23</v>
      </c>
      <c r="F141" s="6">
        <v>-0.14803312629399601</v>
      </c>
    </row>
    <row r="142" spans="1:6" x14ac:dyDescent="0.35">
      <c r="A142" t="s">
        <v>92</v>
      </c>
      <c r="B142" s="1">
        <v>44926</v>
      </c>
      <c r="C142" s="3">
        <v>24.5</v>
      </c>
      <c r="D142" s="1">
        <v>45291</v>
      </c>
      <c r="E142" s="3">
        <v>37.240001999999997</v>
      </c>
      <c r="F142" s="6">
        <v>0.52000008163265299</v>
      </c>
    </row>
    <row r="143" spans="1:6" x14ac:dyDescent="0.35">
      <c r="A143" t="s">
        <v>11</v>
      </c>
      <c r="B143" s="1">
        <v>44926</v>
      </c>
      <c r="C143" s="3">
        <v>17.364999999999998</v>
      </c>
      <c r="D143" s="1">
        <v>45291</v>
      </c>
      <c r="E143" s="3">
        <v>27.695</v>
      </c>
      <c r="F143" s="6">
        <v>0.59487474805643603</v>
      </c>
    </row>
    <row r="144" spans="1:6" x14ac:dyDescent="0.35">
      <c r="A144" t="s">
        <v>107</v>
      </c>
      <c r="B144" s="1">
        <v>44926</v>
      </c>
      <c r="C144" s="3">
        <v>12.4</v>
      </c>
      <c r="D144" s="1">
        <v>45291</v>
      </c>
      <c r="E144" s="3">
        <v>17.93</v>
      </c>
      <c r="F144" s="6">
        <v>0.445967741935484</v>
      </c>
    </row>
    <row r="145" spans="1:6" x14ac:dyDescent="0.35">
      <c r="A145" t="s">
        <v>46</v>
      </c>
      <c r="B145" s="1">
        <v>44926</v>
      </c>
      <c r="C145" s="3">
        <v>37.21</v>
      </c>
      <c r="D145" s="1">
        <v>45291</v>
      </c>
      <c r="E145" s="3">
        <v>46.049999</v>
      </c>
      <c r="F145" s="6">
        <v>0.23757051867777501</v>
      </c>
    </row>
    <row r="146" spans="1:6" x14ac:dyDescent="0.35">
      <c r="A146" t="s">
        <v>123</v>
      </c>
      <c r="B146" s="1">
        <v>44926</v>
      </c>
      <c r="C146" s="3">
        <v>2.73</v>
      </c>
      <c r="D146" s="1">
        <v>45291</v>
      </c>
      <c r="E146" s="3">
        <v>3.71</v>
      </c>
      <c r="F146" s="6">
        <v>0.35897435897435898</v>
      </c>
    </row>
    <row r="147" spans="1:6" x14ac:dyDescent="0.35">
      <c r="A147" t="s">
        <v>37</v>
      </c>
      <c r="B147" s="1">
        <v>44926</v>
      </c>
      <c r="C147" s="3">
        <v>38.35</v>
      </c>
      <c r="D147" s="1">
        <v>45291</v>
      </c>
      <c r="E147" s="3">
        <v>53.439999</v>
      </c>
      <c r="F147" s="6">
        <v>0.39348106910039099</v>
      </c>
    </row>
    <row r="148" spans="1:6" x14ac:dyDescent="0.35">
      <c r="A148" t="s">
        <v>49</v>
      </c>
      <c r="B148" s="1">
        <v>44926</v>
      </c>
      <c r="C148" s="3">
        <v>5.15</v>
      </c>
      <c r="D148" s="1">
        <v>45291</v>
      </c>
      <c r="E148" s="3">
        <v>5.74</v>
      </c>
      <c r="F148" s="6">
        <v>0.114563106796116</v>
      </c>
    </row>
    <row r="149" spans="1:6" x14ac:dyDescent="0.35">
      <c r="A149" t="s">
        <v>65</v>
      </c>
      <c r="B149" s="1">
        <v>44926</v>
      </c>
      <c r="C149" s="3">
        <v>13.5</v>
      </c>
      <c r="D149" s="1">
        <v>45291</v>
      </c>
      <c r="E149" s="3">
        <v>20.09</v>
      </c>
      <c r="F149" s="6">
        <v>0.488148148148148</v>
      </c>
    </row>
    <row r="150" spans="1:6" x14ac:dyDescent="0.35">
      <c r="A150" t="s">
        <v>117</v>
      </c>
      <c r="B150" s="1">
        <v>44926</v>
      </c>
      <c r="C150" s="3">
        <v>3.6</v>
      </c>
      <c r="D150" s="1">
        <v>45291</v>
      </c>
      <c r="E150" s="3">
        <v>4.2</v>
      </c>
      <c r="F150" s="6">
        <v>0.16666666666666699</v>
      </c>
    </row>
    <row r="151" spans="1:6" x14ac:dyDescent="0.35">
      <c r="A151" t="s">
        <v>47</v>
      </c>
      <c r="B151" s="1">
        <v>44926</v>
      </c>
      <c r="C151" s="3">
        <v>46.28</v>
      </c>
      <c r="D151" s="1">
        <v>45291</v>
      </c>
      <c r="E151" s="3">
        <v>48.580002</v>
      </c>
      <c r="F151" s="6">
        <v>4.9697536732930002E-2</v>
      </c>
    </row>
    <row r="152" spans="1:6" x14ac:dyDescent="0.35">
      <c r="A152" t="s">
        <v>6</v>
      </c>
      <c r="B152" s="1">
        <v>44926</v>
      </c>
      <c r="C152" s="3">
        <v>10.82</v>
      </c>
      <c r="D152" s="1">
        <v>45291</v>
      </c>
      <c r="E152" s="3">
        <v>14.18</v>
      </c>
      <c r="F152" s="6">
        <v>0.31053604436229199</v>
      </c>
    </row>
    <row r="153" spans="1:6" x14ac:dyDescent="0.35">
      <c r="A153" t="s">
        <v>4</v>
      </c>
      <c r="B153" s="1">
        <v>44926</v>
      </c>
      <c r="C153" s="3">
        <v>6.25</v>
      </c>
      <c r="D153" s="1">
        <v>45291</v>
      </c>
      <c r="E153" s="3">
        <v>8.5</v>
      </c>
      <c r="F153" s="6">
        <v>0.36</v>
      </c>
    </row>
    <row r="154" spans="1:6" x14ac:dyDescent="0.35">
      <c r="A154" t="s">
        <v>118</v>
      </c>
      <c r="B154" s="1">
        <v>44926</v>
      </c>
      <c r="C154" s="3">
        <v>9.65</v>
      </c>
      <c r="D154" s="1">
        <v>45291</v>
      </c>
      <c r="E154" s="3">
        <v>11.25</v>
      </c>
      <c r="F154" s="6">
        <v>0.16580310880829</v>
      </c>
    </row>
    <row r="155" spans="1:6" x14ac:dyDescent="0.35">
      <c r="A155" t="s">
        <v>121</v>
      </c>
      <c r="B155" s="1">
        <v>44926</v>
      </c>
      <c r="C155" s="3">
        <v>4.09</v>
      </c>
      <c r="D155" s="1">
        <v>45291</v>
      </c>
      <c r="E155" s="3">
        <v>5.93</v>
      </c>
      <c r="F155" s="6">
        <v>0.44987775061124702</v>
      </c>
    </row>
    <row r="156" spans="1:6" x14ac:dyDescent="0.35">
      <c r="A156" t="s">
        <v>26</v>
      </c>
      <c r="B156" s="1">
        <v>44926</v>
      </c>
      <c r="C156" s="3">
        <v>5</v>
      </c>
      <c r="D156" s="1">
        <v>45291</v>
      </c>
      <c r="E156" s="3">
        <v>5</v>
      </c>
      <c r="F156" s="6">
        <v>0</v>
      </c>
    </row>
    <row r="157" spans="1:6" x14ac:dyDescent="0.35">
      <c r="A157" t="s">
        <v>13</v>
      </c>
      <c r="B157" s="1">
        <v>44926</v>
      </c>
      <c r="C157" s="3">
        <v>9.0299999999999994</v>
      </c>
      <c r="D157" s="1">
        <v>45291</v>
      </c>
      <c r="E157" s="3">
        <v>11.62</v>
      </c>
      <c r="F157" s="6">
        <v>0.28682170542635699</v>
      </c>
    </row>
    <row r="158" spans="1:6" x14ac:dyDescent="0.35">
      <c r="A158" t="s">
        <v>167</v>
      </c>
      <c r="B158" s="1">
        <v>44926</v>
      </c>
      <c r="C158" s="3">
        <v>26.32</v>
      </c>
      <c r="D158" s="1">
        <v>45291</v>
      </c>
      <c r="E158" s="3">
        <v>16.41</v>
      </c>
      <c r="F158" s="6">
        <v>-0.37651975683890598</v>
      </c>
    </row>
    <row r="159" spans="1:6" x14ac:dyDescent="0.35">
      <c r="A159" t="s">
        <v>113</v>
      </c>
      <c r="B159" s="1">
        <v>44926</v>
      </c>
      <c r="C159" s="3">
        <v>2.0299999999999998</v>
      </c>
      <c r="D159" s="1">
        <v>45291</v>
      </c>
      <c r="E159" s="3">
        <v>1.29</v>
      </c>
      <c r="F159" s="6">
        <v>-0.364532019704433</v>
      </c>
    </row>
    <row r="160" spans="1:6" x14ac:dyDescent="0.35">
      <c r="A160" t="s">
        <v>28</v>
      </c>
      <c r="B160" s="1">
        <v>44926</v>
      </c>
      <c r="C160" s="3">
        <v>21.99</v>
      </c>
      <c r="D160" s="1">
        <v>45291</v>
      </c>
      <c r="E160" s="3">
        <v>24.91</v>
      </c>
      <c r="F160" s="6">
        <v>0.132787630741246</v>
      </c>
    </row>
    <row r="161" spans="1:6" x14ac:dyDescent="0.35">
      <c r="A161" t="s">
        <v>9</v>
      </c>
      <c r="B161" s="1">
        <v>44926</v>
      </c>
      <c r="C161" s="3">
        <v>8.6507000000000005</v>
      </c>
      <c r="D161" s="1">
        <v>45291</v>
      </c>
      <c r="E161" s="3">
        <v>9.6999999999999993</v>
      </c>
      <c r="F161" s="6">
        <v>0.121296542476331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67C773-56D0-4C84-936E-E0D604018CDD}">
  <sheetPr codeName="Sheet3"/>
  <dimension ref="A1:G16"/>
  <sheetViews>
    <sheetView showGridLines="0" tabSelected="1" topLeftCell="E1" zoomScaleNormal="100" workbookViewId="0">
      <selection activeCell="R6" sqref="R6"/>
    </sheetView>
  </sheetViews>
  <sheetFormatPr defaultRowHeight="14.5" x14ac:dyDescent="0.35"/>
  <cols>
    <col min="1" max="1" width="7.36328125" bestFit="1" customWidth="1"/>
    <col min="2" max="2" width="12.453125" bestFit="1" customWidth="1"/>
    <col min="3" max="3" width="21.54296875" bestFit="1" customWidth="1"/>
    <col min="4" max="4" width="13.1796875" bestFit="1" customWidth="1"/>
    <col min="5" max="5" width="17.1796875" bestFit="1" customWidth="1"/>
    <col min="6" max="7" width="12.453125" bestFit="1" customWidth="1"/>
    <col min="8" max="8" width="19.08984375" bestFit="1" customWidth="1"/>
    <col min="9" max="13" width="7.08984375" bestFit="1" customWidth="1"/>
    <col min="14" max="15" width="7.36328125" bestFit="1" customWidth="1"/>
    <col min="16" max="16" width="7.08984375" bestFit="1" customWidth="1"/>
    <col min="17" max="17" width="16.26953125" bestFit="1" customWidth="1"/>
    <col min="18" max="18" width="18.81640625" bestFit="1" customWidth="1"/>
    <col min="19" max="19" width="7.36328125" bestFit="1" customWidth="1"/>
    <col min="20" max="21" width="14.90625" bestFit="1" customWidth="1"/>
    <col min="22" max="22" width="21.54296875" bestFit="1" customWidth="1"/>
    <col min="23" max="23" width="13.1796875" bestFit="1" customWidth="1"/>
    <col min="24" max="24" width="17.1796875" bestFit="1" customWidth="1"/>
    <col min="25" max="25" width="8.90625" bestFit="1" customWidth="1"/>
    <col min="26" max="26" width="11.7265625" customWidth="1"/>
    <col min="27" max="27" width="12" bestFit="1" customWidth="1"/>
    <col min="28" max="28" width="11.7265625" bestFit="1" customWidth="1"/>
  </cols>
  <sheetData>
    <row r="1" spans="1:7" x14ac:dyDescent="0.35">
      <c r="A1" t="s">
        <v>168</v>
      </c>
      <c r="B1" t="s">
        <v>163</v>
      </c>
      <c r="C1" t="s">
        <v>155</v>
      </c>
      <c r="D1" t="s">
        <v>114</v>
      </c>
      <c r="E1" t="s">
        <v>130</v>
      </c>
      <c r="F1" t="s">
        <v>131</v>
      </c>
      <c r="G1" t="s">
        <v>62</v>
      </c>
    </row>
    <row r="2" spans="1:7" x14ac:dyDescent="0.35">
      <c r="A2">
        <v>2016</v>
      </c>
      <c r="B2" s="5">
        <v>0.45890580645807699</v>
      </c>
      <c r="C2" s="5">
        <v>0.30915565623521002</v>
      </c>
      <c r="D2" s="5">
        <v>0.27151148883610299</v>
      </c>
      <c r="E2" s="5">
        <v>0.76658727702608798</v>
      </c>
      <c r="F2" s="5">
        <v>0.31329839342455301</v>
      </c>
      <c r="G2" s="5">
        <v>0.38910650557880699</v>
      </c>
    </row>
    <row r="3" spans="1:7" x14ac:dyDescent="0.35">
      <c r="A3">
        <v>2017</v>
      </c>
      <c r="B3" s="5">
        <v>0.27592393388110198</v>
      </c>
      <c r="C3" s="5">
        <v>0.27747274040516401</v>
      </c>
      <c r="D3" s="5">
        <v>0.28991087035017099</v>
      </c>
      <c r="E3" s="5">
        <v>0.79896698334832095</v>
      </c>
      <c r="F3" s="5">
        <v>0.66395374700716603</v>
      </c>
      <c r="G3" s="5">
        <v>0.26841421122486803</v>
      </c>
    </row>
    <row r="4" spans="1:7" x14ac:dyDescent="0.35">
      <c r="A4">
        <v>2018</v>
      </c>
      <c r="B4" s="5">
        <v>5.5876643144333001E-2</v>
      </c>
      <c r="C4" s="5">
        <v>9.0030998861935302E-2</v>
      </c>
      <c r="D4" s="5">
        <v>0.115006571102987</v>
      </c>
      <c r="E4" s="5">
        <v>0.18205509410296</v>
      </c>
      <c r="F4" s="5">
        <v>-5.64358216453641E-2</v>
      </c>
      <c r="G4" s="5">
        <v>0.15043797103558901</v>
      </c>
    </row>
    <row r="5" spans="1:7" x14ac:dyDescent="0.35">
      <c r="A5">
        <v>2019</v>
      </c>
      <c r="B5" s="5">
        <v>0.67557252318270899</v>
      </c>
      <c r="C5" s="5">
        <v>0.62631314079255296</v>
      </c>
      <c r="D5" s="5">
        <v>0.64583212441881699</v>
      </c>
      <c r="E5" s="5">
        <v>0.351987098807514</v>
      </c>
      <c r="F5" s="5">
        <v>0.60591630668607299</v>
      </c>
      <c r="G5" s="5">
        <v>0.31579671918359797</v>
      </c>
    </row>
    <row r="6" spans="1:7" x14ac:dyDescent="0.35">
      <c r="A6">
        <v>2020</v>
      </c>
      <c r="B6" s="5">
        <v>2.4060940825363999E-2</v>
      </c>
      <c r="C6" s="5">
        <v>0.16742636867487801</v>
      </c>
      <c r="D6" s="5">
        <v>0.120411899556133</v>
      </c>
      <c r="E6" s="5">
        <v>0.186187881752062</v>
      </c>
      <c r="F6" s="5">
        <v>0.31942281960612801</v>
      </c>
      <c r="G6" s="5">
        <v>2.9272715641443799E-2</v>
      </c>
    </row>
    <row r="7" spans="1:7" x14ac:dyDescent="0.35">
      <c r="A7">
        <v>2021</v>
      </c>
      <c r="B7" s="5">
        <v>0.26627420710598398</v>
      </c>
      <c r="C7" s="5">
        <v>0.21469322455777801</v>
      </c>
      <c r="D7" s="5">
        <v>0.31976815089328697</v>
      </c>
      <c r="E7" s="5">
        <v>6.9791597812247003E-2</v>
      </c>
      <c r="F7" s="5">
        <v>8.5844534199375697E-3</v>
      </c>
      <c r="G7" s="5">
        <v>-0.119231762628555</v>
      </c>
    </row>
    <row r="8" spans="1:7" x14ac:dyDescent="0.35">
      <c r="A8">
        <v>2022</v>
      </c>
      <c r="B8" s="5">
        <v>-6.0140785906665099E-2</v>
      </c>
      <c r="C8" s="5">
        <v>-6.5224792819794195E-2</v>
      </c>
      <c r="D8" s="5">
        <v>1.12283233478169E-2</v>
      </c>
      <c r="E8" s="5">
        <v>-0.25083083893650399</v>
      </c>
      <c r="F8" s="5">
        <v>-0.23565275965302199</v>
      </c>
      <c r="G8" s="5">
        <v>4.6763427701729303E-2</v>
      </c>
    </row>
    <row r="9" spans="1:7" x14ac:dyDescent="0.35">
      <c r="A9">
        <v>2023</v>
      </c>
      <c r="B9" s="5">
        <v>0.22522278662898201</v>
      </c>
      <c r="C9" s="5">
        <v>0.13410050109346</v>
      </c>
      <c r="D9" s="5">
        <v>0.164052400467225</v>
      </c>
      <c r="E9" s="5">
        <v>6.47508315458067E-2</v>
      </c>
      <c r="F9" s="5">
        <v>0.22280074913016901</v>
      </c>
      <c r="G9" s="5">
        <v>0.22257746771928399</v>
      </c>
    </row>
    <row r="11" spans="1:7" x14ac:dyDescent="0.35">
      <c r="A11" t="s">
        <v>170</v>
      </c>
      <c r="B11" s="4" cm="1">
        <f t="array" ref="B11">PRODUCT(Retornos[FCD]+_xlfn.SEQUENCE(COUNT(Retornos[YEAR]),1,1,0))-1</f>
        <v>3.9176756508257444</v>
      </c>
      <c r="C11" s="4" cm="1">
        <f t="array" ref="C11">PRODUCT(Retornos[FCD_TOPSIS_Entropia]+_xlfn.SEQUENCE(COUNT(Retornos[YEAR]),1,1,0))-1</f>
        <v>3.456981004110351</v>
      </c>
      <c r="D11" s="4" cm="1">
        <f t="array" ref="D11">PRODUCT(Retornos[FCD_TOPSIS]+_xlfn.SEQUENCE(COUNT(Retornos[YEAR]),1,1,0))-1</f>
        <v>4.2388994760629055</v>
      </c>
      <c r="E11" s="4" cm="1">
        <f t="array" ref="E11">PRODUCT(Retornos[TOPSIS_Entropia]+_xlfn.SEQUENCE(COUNT(Retornos[YEAR]),1,1,0))-1</f>
        <v>4.1410177410139442</v>
      </c>
      <c r="F11" s="4" cm="1">
        <f t="array" ref="F11">PRODUCT(Retornos[TOPSIS]+_xlfn.SEQUENCE(COUNT(Retornos[YEAR]),1,1,0))-1</f>
        <v>3.1185246957836972</v>
      </c>
      <c r="G11" s="4" cm="1">
        <f t="array" ref="G11">PRODUCT(Retornos[IBOV_VAR]+_xlfn.SEQUENCE(COUNT(Retornos[YEAR]),1,1,0))-1</f>
        <v>2.0943232761513872</v>
      </c>
    </row>
    <row r="12" spans="1:7" x14ac:dyDescent="0.35">
      <c r="A12" t="s">
        <v>171</v>
      </c>
      <c r="B12" s="5">
        <f>(B11+1)^(1/COUNT(Retornos[YEAR]))-1</f>
        <v>0.22030948008005913</v>
      </c>
      <c r="C12" s="5">
        <f>(C11+1)^(1/COUNT(Retornos[FCD]))-1</f>
        <v>0.20539697676807078</v>
      </c>
      <c r="D12" s="5">
        <f>(D11+1)^(1/COUNT(Retornos[FCD_TOPSIS_Entropia]))-1</f>
        <v>0.22999970749806575</v>
      </c>
      <c r="E12" s="5">
        <f>(E11+1)^(1/COUNT(Retornos[FCD_TOPSIS]))-1</f>
        <v>0.22710333893631796</v>
      </c>
      <c r="F12" s="5">
        <f>(F11+1)^(1/COUNT(Retornos[TOPSIS_Entropia]))-1</f>
        <v>0.19355574988285418</v>
      </c>
      <c r="G12" s="5">
        <f>(G11+1)^(1/COUNT(Retornos[TOPSIS]))-1</f>
        <v>0.1516505266232826</v>
      </c>
    </row>
    <row r="13" spans="1:7" x14ac:dyDescent="0.35">
      <c r="A13" t="s">
        <v>169</v>
      </c>
      <c r="B13" s="7">
        <f>_xlfn.COVARIANCE.P(Retornos[FCD],Retornos[IBOV_VAR])/_xlfn.VAR.P(Retornos[IBOV_VAR])</f>
        <v>0.88659008146902274</v>
      </c>
      <c r="C13" s="7">
        <f>_xlfn.COVARIANCE.P(Retornos[FCD_TOPSIS_Entropia],Retornos[IBOV_VAR])/_xlfn.VAR.P(Retornos[IBOV_VAR])</f>
        <v>0.63141268845242737</v>
      </c>
      <c r="D13" s="7">
        <f>_xlfn.COVARIANCE.P(Retornos[FCD_TOPSIS],Retornos[IBOV_VAR])/_xlfn.VAR.P(Retornos[IBOV_VAR])</f>
        <v>0.45679628477226897</v>
      </c>
      <c r="E13" s="7">
        <f>_xlfn.COVARIANCE.P(Retornos[TOPSIS_Entropia],Retornos[IBOV_VAR])/_xlfn.VAR.P(Retornos[IBOV_VAR])</f>
        <v>1.4859805879725436</v>
      </c>
      <c r="F13" s="7">
        <f>_xlfn.COVARIANCE.P(Retornos[TOPSIS],Retornos[IBOV_VAR])/_xlfn.VAR.P(Retornos[IBOV_VAR])</f>
        <v>1.1472831744298391</v>
      </c>
      <c r="G13" s="7">
        <f>_xlfn.COVARIANCE.P(Retornos[IBOV_VAR],Retornos[IBOV_VAR])/_xlfn.VAR.P(Retornos[IBOV_VAR])</f>
        <v>0.99999999999999978</v>
      </c>
    </row>
    <row r="15" spans="1:7" x14ac:dyDescent="0.35">
      <c r="B15">
        <v>5</v>
      </c>
      <c r="C15">
        <v>4</v>
      </c>
      <c r="D15">
        <v>4</v>
      </c>
      <c r="E15">
        <v>6</v>
      </c>
      <c r="F15">
        <v>5</v>
      </c>
    </row>
    <row r="16" spans="1:7" x14ac:dyDescent="0.35">
      <c r="C16">
        <v>3</v>
      </c>
      <c r="D16">
        <v>5</v>
      </c>
      <c r="E16">
        <v>4</v>
      </c>
      <c r="F16">
        <v>2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CF6FF2-CA3D-46AB-B7EA-1D8D78917A2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FCD</vt:lpstr>
      <vt:lpstr>FCD-TOPSIS Entropia</vt:lpstr>
      <vt:lpstr>FCD-TOPSIS</vt:lpstr>
      <vt:lpstr>TOPSIS - Entropia</vt:lpstr>
      <vt:lpstr>TOPSIS</vt:lpstr>
      <vt:lpstr>Retornos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Celso</dc:creator>
  <cp:lastModifiedBy>Rodrigo Celso</cp:lastModifiedBy>
  <dcterms:created xsi:type="dcterms:W3CDTF">2015-06-05T18:17:20Z</dcterms:created>
  <dcterms:modified xsi:type="dcterms:W3CDTF">2024-06-01T15:55:34Z</dcterms:modified>
</cp:coreProperties>
</file>